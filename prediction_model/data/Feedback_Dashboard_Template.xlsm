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iod\Documents\GitHub\scratch\prediction_model\data\"/>
    </mc:Choice>
  </mc:AlternateContent>
  <xr:revisionPtr revIDLastSave="0" documentId="13_ncr:1_{1AC12927-CDCF-480E-9396-63230D5D553D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ashboard" sheetId="9" r:id="rId1"/>
    <sheet name="Output" sheetId="10" r:id="rId2"/>
    <sheet name="Feedback_Data" sheetId="1" r:id="rId3"/>
  </sheets>
  <functionGroups builtInGroupCount="19"/>
  <calcPr calcId="191029"/>
  <pivotCaches>
    <pivotCache cacheId="6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1" l="1"/>
  <c r="J5" i="1"/>
  <c r="J3" i="1"/>
  <c r="J2" i="1"/>
</calcChain>
</file>

<file path=xl/sharedStrings.xml><?xml version="1.0" encoding="utf-8"?>
<sst xmlns="http://schemas.openxmlformats.org/spreadsheetml/2006/main" count="302" uniqueCount="99">
  <si>
    <t>Date</t>
  </si>
  <si>
    <t>Customer</t>
  </si>
  <si>
    <t>Feedback Type</t>
  </si>
  <si>
    <t>Rating (1–5)</t>
  </si>
  <si>
    <t>Status</t>
  </si>
  <si>
    <t>Follow-Up</t>
  </si>
  <si>
    <t>Comments</t>
  </si>
  <si>
    <t>Customer 1</t>
  </si>
  <si>
    <t>Service</t>
  </si>
  <si>
    <t>Resolved</t>
  </si>
  <si>
    <t>No</t>
  </si>
  <si>
    <t>Great service</t>
  </si>
  <si>
    <t>Customer 2</t>
  </si>
  <si>
    <t>Online Banking</t>
  </si>
  <si>
    <t>Open</t>
  </si>
  <si>
    <t>Yes</t>
  </si>
  <si>
    <t>App crashes</t>
  </si>
  <si>
    <t>Customer 3</t>
  </si>
  <si>
    <t>Loan Process</t>
  </si>
  <si>
    <t>Slow response</t>
  </si>
  <si>
    <t>Customer 4</t>
  </si>
  <si>
    <t>App</t>
  </si>
  <si>
    <t>ATM issue</t>
  </si>
  <si>
    <t>Customer 5</t>
  </si>
  <si>
    <t>ATM</t>
  </si>
  <si>
    <t>Helpful staff</t>
  </si>
  <si>
    <t>Customer 6</t>
  </si>
  <si>
    <t>Customer 7</t>
  </si>
  <si>
    <t>Customer 8</t>
  </si>
  <si>
    <t>Customer 9</t>
  </si>
  <si>
    <t>Customer 10</t>
  </si>
  <si>
    <t>Customer 11</t>
  </si>
  <si>
    <t>Customer 12</t>
  </si>
  <si>
    <t>Customer 13</t>
  </si>
  <si>
    <t>Customer 14</t>
  </si>
  <si>
    <t>Customer 15</t>
  </si>
  <si>
    <t>Customer 16</t>
  </si>
  <si>
    <t>Customer 17</t>
  </si>
  <si>
    <t>Customer 18</t>
  </si>
  <si>
    <t>Customer 19</t>
  </si>
  <si>
    <t>Customer 20</t>
  </si>
  <si>
    <t>Customer 21</t>
  </si>
  <si>
    <t>Customer 22</t>
  </si>
  <si>
    <t>Customer 23</t>
  </si>
  <si>
    <t>Customer 24</t>
  </si>
  <si>
    <t>Customer 25</t>
  </si>
  <si>
    <t>Customer 26</t>
  </si>
  <si>
    <t>Customer 27</t>
  </si>
  <si>
    <t>Customer 28</t>
  </si>
  <si>
    <t>Customer 29</t>
  </si>
  <si>
    <t>Customer 30</t>
  </si>
  <si>
    <t>Customer 31</t>
  </si>
  <si>
    <t>Customer 32</t>
  </si>
  <si>
    <t>Customer 33</t>
  </si>
  <si>
    <t>Customer 34</t>
  </si>
  <si>
    <t>Customer 35</t>
  </si>
  <si>
    <t>Customer 36</t>
  </si>
  <si>
    <t>Customer 37</t>
  </si>
  <si>
    <t>Customer 38</t>
  </si>
  <si>
    <t>Customer 39</t>
  </si>
  <si>
    <t>Customer 40</t>
  </si>
  <si>
    <t>Customer 41</t>
  </si>
  <si>
    <t>Customer 42</t>
  </si>
  <si>
    <t>Customer 43</t>
  </si>
  <si>
    <t>Customer 44</t>
  </si>
  <si>
    <t>Customer 45</t>
  </si>
  <si>
    <t>Customer 46</t>
  </si>
  <si>
    <t>Customer 47</t>
  </si>
  <si>
    <t>Customer 48</t>
  </si>
  <si>
    <t>Customer 49</t>
  </si>
  <si>
    <t>Customer 50</t>
  </si>
  <si>
    <t>Metric</t>
  </si>
  <si>
    <t>Output</t>
  </si>
  <si>
    <t>Total Feedback Received</t>
  </si>
  <si>
    <t>Average Rating</t>
  </si>
  <si>
    <t>Requiring Follow-Up</t>
  </si>
  <si>
    <t>Row Labels</t>
  </si>
  <si>
    <t>Grand Total</t>
  </si>
  <si>
    <t>Count of Feedback Type</t>
  </si>
  <si>
    <t>Sentiment Score</t>
  </si>
  <si>
    <t>Risk Level</t>
  </si>
  <si>
    <t>Top Issue Summary</t>
  </si>
  <si>
    <t>Recommendation</t>
  </si>
  <si>
    <t>Probability Score</t>
  </si>
  <si>
    <t>Last Updated</t>
  </si>
  <si>
    <t>Critical</t>
  </si>
  <si>
    <t>No specific issues identified</t>
  </si>
  <si>
    <t>Immediate maintenance required for ATM network. Check for hardware failures and cash availability.</t>
  </si>
  <si>
    <t>Immediate investigation required. Escalate to senior management and deploy dedicated resources.</t>
  </si>
  <si>
    <t>Warning</t>
  </si>
  <si>
    <t>slow slow slow slow slow slow slow slow slow slow</t>
  </si>
  <si>
    <t>Improve follow-up process and monitor trends closely. Schedule review within 2 weeks.</t>
  </si>
  <si>
    <t>Stable</t>
  </si>
  <si>
    <t>crash crash crash crash crash crash crash crash crash crash</t>
  </si>
  <si>
    <t>Online banking service running smoothly. Monitor for security threats.</t>
  </si>
  <si>
    <t>Continue current monitoring practices. Maintain quality standards.</t>
  </si>
  <si>
    <t>+</t>
  </si>
  <si>
    <t>Which channels generate the most feedback?</t>
  </si>
  <si>
    <t>Shows where customer issues are concentrated (ATM, App, Service, etc.)
Great for resource allocation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</si>
</sst>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left"/>
    </xf>
    <xf numFmtId="10" fontId="0" fillId="0" borderId="0" xfId="0" applyNumberFormat="1"/>
    <xf numFmtId="9" fontId="0" fillId="0" borderId="0" xfId="0" applyNumberFormat="1"/>
    <xf numFmtId="0" fontId="0" fillId="0" borderId="0" xfId="0" pivotButton="1"/>
    <xf numFmtId="0" fontId="0" fillId="2" borderId="0" xfId="0" applyFill="1"/>
    <xf numFmtId="22" fontId="0" fillId="0" borderId="0" xfId="0" applyNumberFormat="1"/>
    <xf numFmtId="0" fontId="1" fillId="3" borderId="0" xfId="0" applyFont="1" applyFill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wrapText="1"/>
    </xf>
  </cellXfs>
  <cellStyles count="1">
    <cellStyle name="Normal" xfId="0" builtinId="0"/>
  </cellStyles>
  <dxfs count="11"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8F8F8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907507198020203E-2"/>
          <c:y val="1.5991052071615521E-2"/>
          <c:w val="0.94548921310192713"/>
          <c:h val="0.90919063108433107"/>
        </c:manualLayout>
      </c:layout>
      <c:area3DChart>
        <c:grouping val="standard"/>
        <c:varyColors val="0"/>
        <c:ser>
          <c:idx val="0"/>
          <c:order val="0"/>
          <c:tx>
            <c:v>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9A-42CD-9E7A-29570EF37AC6}"/>
            </c:ext>
          </c:extLst>
        </c:ser>
        <c:ser>
          <c:idx val="1"/>
          <c:order val="1"/>
          <c:tx>
            <c:v>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80D-41AB-96DA-E6CB0E35F8EA}"/>
            </c:ext>
          </c:extLst>
        </c:ser>
        <c:ser>
          <c:idx val="2"/>
          <c:order val="2"/>
          <c:tx>
            <c:v>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30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280D-41AB-96DA-E6CB0E35F8EA}"/>
            </c:ext>
          </c:extLst>
        </c:ser>
        <c:ser>
          <c:idx val="3"/>
          <c:order val="3"/>
          <c:tx>
            <c:v>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40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280D-41AB-96DA-E6CB0E35F8EA}"/>
            </c:ext>
          </c:extLst>
        </c:ser>
        <c:ser>
          <c:idx val="4"/>
          <c:order val="4"/>
          <c:tx>
            <c:v>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9-280D-41AB-96DA-E6CB0E35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24064"/>
        <c:axId val="1567924544"/>
        <c:axId val="1514911072"/>
      </c:area3DChart>
      <c:catAx>
        <c:axId val="15679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  <c:auto val="1"/>
        <c:lblAlgn val="ctr"/>
        <c:lblOffset val="100"/>
        <c:noMultiLvlLbl val="0"/>
      </c:catAx>
      <c:valAx>
        <c:axId val="15679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064"/>
        <c:crosses val="autoZero"/>
        <c:crossBetween val="midCat"/>
      </c:valAx>
      <c:serAx>
        <c:axId val="1514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3"/>
              <c:pt idx="0">
                <c:v>&lt;1/1/2025</c:v>
              </c:pt>
              <c:pt idx="1">
                <c:v>Jan</c:v>
              </c:pt>
              <c:pt idx="2">
                <c:v>Feb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31</c:v>
              </c:pt>
              <c:pt idx="2">
                <c:v>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FC-4C73-B337-8A766510C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406111"/>
        <c:axId val="319403231"/>
      </c:lineChart>
      <c:catAx>
        <c:axId val="3194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3231"/>
        <c:crosses val="autoZero"/>
        <c:auto val="1"/>
        <c:lblAlgn val="ctr"/>
        <c:lblOffset val="100"/>
        <c:noMultiLvlLbl val="0"/>
      </c:catAx>
      <c:valAx>
        <c:axId val="31940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48347348912637E-2"/>
          <c:y val="0.16408315146699728"/>
          <c:w val="0.78666497196093277"/>
          <c:h val="0.6879197235808816"/>
        </c:manualLayout>
      </c:layout>
      <c:bar3DChart>
        <c:barDir val="col"/>
        <c:grouping val="standard"/>
        <c:varyColors val="0"/>
        <c:ser>
          <c:idx val="0"/>
          <c:order val="0"/>
          <c:tx>
            <c:v>Open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0</c:v>
              </c:pt>
              <c:pt idx="2">
                <c:v>0</c:v>
              </c:pt>
              <c:pt idx="3">
                <c:v>10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7ED-4E5C-A88A-2B8442D7C785}"/>
            </c:ext>
          </c:extLst>
        </c:ser>
        <c:ser>
          <c:idx val="1"/>
          <c:order val="1"/>
          <c:tx>
            <c:v>Resolved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10</c:v>
              </c:pt>
              <c:pt idx="3">
                <c:v>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1-B170-4C83-86DF-2736671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9835663"/>
        <c:axId val="1129836143"/>
        <c:axId val="677870303"/>
      </c:bar3DChart>
      <c:catAx>
        <c:axId val="112983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  <c:auto val="1"/>
        <c:lblAlgn val="ctr"/>
        <c:lblOffset val="100"/>
        <c:noMultiLvlLbl val="0"/>
      </c:catAx>
      <c:valAx>
        <c:axId val="112983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5663"/>
        <c:crosses val="autoZero"/>
        <c:crossBetween val="between"/>
      </c:valAx>
      <c:serAx>
        <c:axId val="6778703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[Feedback_Dashboard_Template.xlsm]Feedback_Data!PivotTable1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3.3788914320146295E-2"/>
              <c:y val="1.768686099002649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E22F8C1B-9687-4BCE-8FF1-480D61108780}" type="CATEGORYNAME">
                  <a:rPr lang="en-US" sz="2800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2DA6FDD8-C21A-4B4E-8D7C-0276C538355B}" type="PERCENTAGE">
                  <a:rPr lang="en-US" sz="2400" baseline="0"/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81282043185769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EB0EF94-870D-439B-B6B0-287861C47268}" type="CATEGORYNAME">
                  <a:rPr lang="en-US" sz="3200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2EDDECAC-7733-44E0-A035-79F4A807171F}" type="PERCENTAGE">
                  <a:rPr lang="en-US" sz="2400" baseline="0"/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4415613176759214E-2"/>
                  <c:h val="0.23306253659196527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799093652595064"/>
              <c:y val="-1.304621656637402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C33C2989-9DDF-4A1A-8AD6-5C368FDE2239}" type="CATEGORYNAME">
                  <a:rPr lang="en-US" sz="2800"/>
                  <a:pPr>
                    <a:defRPr/>
                  </a:pPr>
                  <a:t>[CATEGORY NAME]</a:t>
                </a:fld>
                <a:r>
                  <a:rPr lang="en-US" sz="2400" baseline="0"/>
                  <a:t>
</a:t>
                </a:r>
                <a:fld id="{2EEDD7B4-E547-4860-A10A-E19E00EA7D89}" type="PERCENTAGE">
                  <a:rPr lang="en-US" sz="2400" baseline="0"/>
                  <a:pPr>
                    <a:defRPr/>
                  </a:pPr>
                  <a:t>[PERCENTAGE]</a:t>
                </a:fld>
                <a:endParaRPr lang="en-US" sz="24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04804479973763"/>
                  <c:h val="0.19914271829398475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680838068301879E-2"/>
              <c:y val="-0.1016935012416406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D0965936-B372-4A16-AFD0-B68AFC3A36D8}" type="CATEGORYNAME">
                  <a:rPr lang="en-US" sz="2800"/>
                  <a:pPr>
                    <a:defRPr/>
                  </a:pPr>
                  <a:t>[CATEGORY NAME]</a:t>
                </a:fld>
                <a:r>
                  <a:rPr lang="en-US" sz="2800" baseline="0"/>
                  <a:t>
</a:t>
                </a:r>
                <a:fld id="{1609CC2E-5A4F-458D-A8D5-F15942FBCB04}" type="PERCENTAGE">
                  <a:rPr lang="en-US" sz="2800" baseline="0"/>
                  <a:pPr>
                    <a:defRPr/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85170628385352"/>
                  <c:h val="0.27542291297008453"/>
                </c:manualLayout>
              </c15:layout>
              <c15:dlblFieldTable/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976461737699478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7083517-9670-46A2-835D-AE0BC217D650}" type="CATEGORYNAME">
                  <a:rPr lang="en-US" sz="2800"/>
                  <a:pPr>
                    <a:defRPr/>
                  </a:pPr>
                  <a:t>[CATEGORY NAME]</a:t>
                </a:fld>
                <a:r>
                  <a:rPr lang="en-US" sz="2800" baseline="0"/>
                  <a:t>
</a:t>
                </a:r>
                <a:fld id="{FBB33CA1-4B34-4BA0-8AD8-794DDF559FE2}" type="PERCENTAGE">
                  <a:rPr lang="en-US" sz="2800" baseline="0"/>
                  <a:pPr>
                    <a:defRPr/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Feedback_Data!$M$1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7A-4C6F-A414-EA45470DE0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7A-4C6F-A414-EA45470DE0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7A-4C6F-A414-EA45470DE0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7A-4C6F-A414-EA45470DE0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7A-4C6F-A414-EA45470DE0BC}"/>
              </c:ext>
            </c:extLst>
          </c:dPt>
          <c:dLbls>
            <c:dLbl>
              <c:idx val="0"/>
              <c:layout>
                <c:manualLayout>
                  <c:x val="3.3788914320146295E-2"/>
                  <c:y val="1.768686099002649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2F8C1B-9687-4BCE-8FF1-480D6110878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DA6FDD8-C21A-4B4E-8D7C-0276C538355B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7A-4C6F-A414-EA45470DE0BC}"/>
                </c:ext>
              </c:extLst>
            </c:dLbl>
            <c:dLbl>
              <c:idx val="1"/>
              <c:layout>
                <c:manualLayout>
                  <c:x val="5.081282043185769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B0EF94-870D-439B-B6B0-287861C47268}" type="CATEGORYNAME">
                      <a:rPr lang="en-US" sz="32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EDDECAC-7733-44E0-A035-79F4A807171F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415613176759214E-2"/>
                      <c:h val="0.233062536591965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D7A-4C6F-A414-EA45470DE0BC}"/>
                </c:ext>
              </c:extLst>
            </c:dLbl>
            <c:dLbl>
              <c:idx val="2"/>
              <c:layout>
                <c:manualLayout>
                  <c:x val="-0.21799093652595064"/>
                  <c:y val="-1.3046216566374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33C2989-9DDF-4A1A-8AD6-5C368FDE2239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sz="2400" baseline="0"/>
                      <a:t>
</a:t>
                    </a:r>
                    <a:fld id="{2EEDD7B4-E547-4860-A10A-E19E00EA7D89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sz="24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804479973763"/>
                      <c:h val="0.199142718293984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7A-4C6F-A414-EA45470DE0BC}"/>
                </c:ext>
              </c:extLst>
            </c:dLbl>
            <c:dLbl>
              <c:idx val="3"/>
              <c:layout>
                <c:manualLayout>
                  <c:x val="-2.9680838068301879E-2"/>
                  <c:y val="-0.101693501241640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0965936-B372-4A16-AFD0-B68AFC3A36D8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1609CC2E-5A4F-458D-A8D5-F15942FBCB04}" type="PERCENTAGE">
                      <a:rPr lang="en-US" sz="2800" baseline="0"/>
                      <a:pPr>
                        <a:defRPr/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85170628385352"/>
                      <c:h val="0.275422912970084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7A-4C6F-A414-EA45470DE0BC}"/>
                </c:ext>
              </c:extLst>
            </c:dLbl>
            <c:dLbl>
              <c:idx val="4"/>
              <c:layout>
                <c:manualLayout>
                  <c:x val="-2.297646173769947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083517-9670-46A2-835D-AE0BC217D65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FBB33CA1-4B34-4BA0-8AD8-794DDF559FE2}" type="PERCENTAGE">
                      <a:rPr lang="en-US" sz="2800" baseline="0"/>
                      <a:pPr>
                        <a:defRPr/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ED7A-4C6F-A414-EA45470DE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Feedback_Data!$L$2:$L$7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Feedback_Data!$M$2:$M$7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7A-4C6F-A414-EA45470DE0B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10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C294-440B-8D20-4D6C57B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4388735"/>
        <c:axId val="1574384895"/>
        <c:axId val="1400450623"/>
      </c:bar3DChart>
      <c:catAx>
        <c:axId val="15743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  <c:auto val="1"/>
        <c:lblAlgn val="ctr"/>
        <c:lblOffset val="100"/>
        <c:noMultiLvlLbl val="0"/>
      </c:catAx>
      <c:valAx>
        <c:axId val="15743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8735"/>
        <c:crosses val="autoZero"/>
        <c:crossBetween val="between"/>
      </c:valAx>
      <c:serAx>
        <c:axId val="14004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491637</xdr:colOff>
      <xdr:row>12</xdr:row>
      <xdr:rowOff>0</xdr:rowOff>
    </xdr:from>
    <xdr:to>
      <xdr:col>17</xdr:col>
      <xdr:colOff>341923</xdr:colOff>
      <xdr:row>41</xdr:row>
      <xdr:rowOff>33948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55EF0CE-AB96-17DA-B52C-BC988BCD657D}"/>
            </a:ext>
          </a:extLst>
        </xdr:cNvPr>
        <xdr:cNvSpPr/>
      </xdr:nvSpPr>
      <xdr:spPr>
        <a:xfrm>
          <a:off x="491637" y="2162432"/>
          <a:ext cx="9915894" cy="5259827"/>
        </a:xfrm>
        <a:prstGeom prst="roundRect">
          <a:avLst>
            <a:gd name="adj" fmla="val 1353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147905</xdr:colOff>
      <xdr:row>12</xdr:row>
      <xdr:rowOff>149271</xdr:rowOff>
    </xdr:from>
    <xdr:to>
      <xdr:col>49</xdr:col>
      <xdr:colOff>537308</xdr:colOff>
      <xdr:row>41</xdr:row>
      <xdr:rowOff>79619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221AF6-710D-62E6-D5CC-7B22161326A0}"/>
            </a:ext>
          </a:extLst>
        </xdr:cNvPr>
        <xdr:cNvSpPr/>
      </xdr:nvSpPr>
      <xdr:spPr>
        <a:xfrm>
          <a:off x="18904828" y="2493886"/>
          <a:ext cx="10354018" cy="5596502"/>
        </a:xfrm>
        <a:prstGeom prst="roundRect">
          <a:avLst>
            <a:gd name="adj" fmla="val 13393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555151</xdr:colOff>
      <xdr:row>12</xdr:row>
      <xdr:rowOff>1</xdr:rowOff>
    </xdr:from>
    <xdr:to>
      <xdr:col>31</xdr:col>
      <xdr:colOff>390768</xdr:colOff>
      <xdr:row>41</xdr:row>
      <xdr:rowOff>73270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28FC8DC-9B0D-B186-B355-62D2E4E9AB64}"/>
            </a:ext>
          </a:extLst>
        </xdr:cNvPr>
        <xdr:cNvSpPr/>
      </xdr:nvSpPr>
      <xdr:spPr>
        <a:xfrm>
          <a:off x="10620759" y="2162433"/>
          <a:ext cx="8124941" cy="5299148"/>
        </a:xfrm>
        <a:prstGeom prst="roundRect">
          <a:avLst>
            <a:gd name="adj" fmla="val 12901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115856</xdr:colOff>
      <xdr:row>43</xdr:row>
      <xdr:rowOff>48847</xdr:rowOff>
    </xdr:from>
    <xdr:to>
      <xdr:col>17</xdr:col>
      <xdr:colOff>201734</xdr:colOff>
      <xdr:row>72</xdr:row>
      <xdr:rowOff>30772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81CB6B3-3BAB-1A83-6FF2-B05771778DDD}"/>
            </a:ext>
          </a:extLst>
        </xdr:cNvPr>
        <xdr:cNvSpPr/>
      </xdr:nvSpPr>
      <xdr:spPr>
        <a:xfrm>
          <a:off x="702010" y="8450385"/>
          <a:ext cx="9464339" cy="5648079"/>
        </a:xfrm>
        <a:prstGeom prst="roundRect">
          <a:avLst>
            <a:gd name="adj" fmla="val 18677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428567</xdr:colOff>
      <xdr:row>43</xdr:row>
      <xdr:rowOff>79495</xdr:rowOff>
    </xdr:from>
    <xdr:to>
      <xdr:col>32</xdr:col>
      <xdr:colOff>107831</xdr:colOff>
      <xdr:row>72</xdr:row>
      <xdr:rowOff>11981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FE0A36-1CAD-41EE-843B-C9B1352541C4}"/>
            </a:ext>
          </a:extLst>
        </xdr:cNvPr>
        <xdr:cNvSpPr/>
      </xdr:nvSpPr>
      <xdr:spPr>
        <a:xfrm>
          <a:off x="10408850" y="8322514"/>
          <a:ext cx="8485396" cy="5491731"/>
        </a:xfrm>
        <a:prstGeom prst="roundRect">
          <a:avLst>
            <a:gd name="adj" fmla="val 15422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319498</xdr:colOff>
      <xdr:row>43</xdr:row>
      <xdr:rowOff>167556</xdr:rowOff>
    </xdr:from>
    <xdr:to>
      <xdr:col>50</xdr:col>
      <xdr:colOff>126161</xdr:colOff>
      <xdr:row>71</xdr:row>
      <xdr:rowOff>167736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10F7FBF-C7A4-9A6B-5BAC-B27E0F893BD4}"/>
            </a:ext>
          </a:extLst>
        </xdr:cNvPr>
        <xdr:cNvSpPr/>
      </xdr:nvSpPr>
      <xdr:spPr>
        <a:xfrm>
          <a:off x="18607498" y="8359056"/>
          <a:ext cx="10093663" cy="5334180"/>
        </a:xfrm>
        <a:prstGeom prst="roundRect">
          <a:avLst>
            <a:gd name="adj" fmla="val 15138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37353</xdr:colOff>
      <xdr:row>25</xdr:row>
      <xdr:rowOff>56029</xdr:rowOff>
    </xdr:from>
    <xdr:ext cx="1606176" cy="466912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E6D876-3BA9-C000-D888-4033B916A6EE}"/>
            </a:ext>
          </a:extLst>
        </xdr:cNvPr>
        <xdr:cNvSpPr txBox="1"/>
      </xdr:nvSpPr>
      <xdr:spPr>
        <a:xfrm>
          <a:off x="5584265" y="4725147"/>
          <a:ext cx="1606176" cy="4669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304612</xdr:colOff>
      <xdr:row>12</xdr:row>
      <xdr:rowOff>102973</xdr:rowOff>
    </xdr:from>
    <xdr:to>
      <xdr:col>13</xdr:col>
      <xdr:colOff>437636</xdr:colOff>
      <xdr:row>15</xdr:row>
      <xdr:rowOff>105463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BC87D6F3-0C48-897F-2656-151853F39695}"/>
            </a:ext>
          </a:extLst>
        </xdr:cNvPr>
        <xdr:cNvSpPr txBox="1">
          <a:spLocks noChangeArrowheads="1"/>
        </xdr:cNvSpPr>
      </xdr:nvSpPr>
      <xdr:spPr bwMode="auto">
        <a:xfrm>
          <a:off x="3265085" y="2265405"/>
          <a:ext cx="4869781" cy="543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</a:rPr>
            <a:t>Feedback Type Distribution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21</xdr:col>
      <xdr:colOff>369666</xdr:colOff>
      <xdr:row>12</xdr:row>
      <xdr:rowOff>102973</xdr:rowOff>
    </xdr:from>
    <xdr:to>
      <xdr:col>28</xdr:col>
      <xdr:colOff>360405</xdr:colOff>
      <xdr:row>15</xdr:row>
      <xdr:rowOff>67989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8A13EE75-836A-387E-2E66-B0B84EE8D397}"/>
            </a:ext>
          </a:extLst>
        </xdr:cNvPr>
        <xdr:cNvSpPr txBox="1">
          <a:spLocks noChangeArrowheads="1"/>
        </xdr:cNvSpPr>
      </xdr:nvSpPr>
      <xdr:spPr bwMode="auto">
        <a:xfrm>
          <a:off x="12803652" y="2265405"/>
          <a:ext cx="4135402" cy="50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Rating by Feedback Type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458494</xdr:colOff>
      <xdr:row>45</xdr:row>
      <xdr:rowOff>88657</xdr:rowOff>
    </xdr:from>
    <xdr:to>
      <xdr:col>12</xdr:col>
      <xdr:colOff>50277</xdr:colOff>
      <xdr:row>47</xdr:row>
      <xdr:rowOff>138714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630F5AF4-E34A-54AB-656B-DB2E955A0752}"/>
            </a:ext>
          </a:extLst>
        </xdr:cNvPr>
        <xdr:cNvSpPr txBox="1">
          <a:spLocks noChangeArrowheads="1"/>
        </xdr:cNvSpPr>
      </xdr:nvSpPr>
      <xdr:spPr bwMode="auto">
        <a:xfrm>
          <a:off x="3975417" y="8880965"/>
          <a:ext cx="3108706" cy="44082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2800" b="0" i="0" u="none" strike="noStrike" baseline="0">
              <a:solidFill>
                <a:schemeClr val="bg1">
                  <a:lumMod val="50000"/>
                </a:schemeClr>
              </a:solidFill>
              <a:latin typeface="Bodoni MT Black" panose="02070A03080606020203" pitchFamily="18" charset="0"/>
              <a:ea typeface="Calibri"/>
              <a:cs typeface="Calibri"/>
            </a:rPr>
            <a:t>Time of feeback</a:t>
          </a:r>
        </a:p>
      </xdr:txBody>
    </xdr:sp>
    <xdr:clientData/>
  </xdr:twoCellAnchor>
  <xdr:twoCellAnchor>
    <xdr:from>
      <xdr:col>23</xdr:col>
      <xdr:colOff>260296</xdr:colOff>
      <xdr:row>46</xdr:row>
      <xdr:rowOff>71976</xdr:rowOff>
    </xdr:from>
    <xdr:to>
      <xdr:col>26</xdr:col>
      <xdr:colOff>263524</xdr:colOff>
      <xdr:row>48</xdr:row>
      <xdr:rowOff>73782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20053B67-3B46-E775-9AB0-55A75975D3C6}"/>
            </a:ext>
          </a:extLst>
        </xdr:cNvPr>
        <xdr:cNvSpPr txBox="1">
          <a:spLocks noChangeArrowheads="1"/>
        </xdr:cNvSpPr>
      </xdr:nvSpPr>
      <xdr:spPr bwMode="auto">
        <a:xfrm>
          <a:off x="13696896" y="9419176"/>
          <a:ext cx="1755828" cy="4082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chemeClr val="bg1">
                  <a:lumMod val="50000"/>
                </a:schemeClr>
              </a:solidFill>
              <a:latin typeface="Bodoni MT Black" panose="02070A03080606020203" pitchFamily="18" charset="0"/>
              <a:ea typeface="Calibri"/>
              <a:cs typeface="Calibri"/>
            </a:rPr>
            <a:t>Status Count</a:t>
          </a:r>
        </a:p>
      </xdr:txBody>
    </xdr:sp>
    <xdr:clientData/>
  </xdr:twoCellAnchor>
  <xdr:twoCellAnchor>
    <xdr:from>
      <xdr:col>39</xdr:col>
      <xdr:colOff>286825</xdr:colOff>
      <xdr:row>46</xdr:row>
      <xdr:rowOff>128444</xdr:rowOff>
    </xdr:from>
    <xdr:to>
      <xdr:col>44</xdr:col>
      <xdr:colOff>132016</xdr:colOff>
      <xdr:row>48</xdr:row>
      <xdr:rowOff>144393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3ACEA410-9BAA-4FF7-C861-701F21E176B2}"/>
            </a:ext>
          </a:extLst>
        </xdr:cNvPr>
        <xdr:cNvSpPr txBox="1">
          <a:spLocks noChangeArrowheads="1"/>
        </xdr:cNvSpPr>
      </xdr:nvSpPr>
      <xdr:spPr bwMode="auto">
        <a:xfrm>
          <a:off x="22898347" y="9018444"/>
          <a:ext cx="2744104" cy="40247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chemeClr val="bg1">
                  <a:lumMod val="50000"/>
                </a:schemeClr>
              </a:solidFill>
              <a:latin typeface="Bodoni MT Black" panose="02070A03080606020203" pitchFamily="18" charset="0"/>
              <a:ea typeface="Calibri"/>
              <a:cs typeface="Calibri"/>
            </a:rPr>
            <a:t>Top Issue Summary</a:t>
          </a:r>
        </a:p>
      </xdr:txBody>
    </xdr:sp>
    <xdr:clientData/>
  </xdr:twoCellAnchor>
  <xdr:twoCellAnchor>
    <xdr:from>
      <xdr:col>38</xdr:col>
      <xdr:colOff>284532</xdr:colOff>
      <xdr:row>14</xdr:row>
      <xdr:rowOff>100492</xdr:rowOff>
    </xdr:from>
    <xdr:to>
      <xdr:col>46</xdr:col>
      <xdr:colOff>209872</xdr:colOff>
      <xdr:row>17</xdr:row>
      <xdr:rowOff>96864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FB8E9BE-5FEA-662E-2F8F-79F3273D817C}"/>
            </a:ext>
          </a:extLst>
        </xdr:cNvPr>
        <xdr:cNvSpPr txBox="1">
          <a:spLocks noChangeArrowheads="1"/>
        </xdr:cNvSpPr>
      </xdr:nvSpPr>
      <xdr:spPr bwMode="auto">
        <a:xfrm>
          <a:off x="22369617" y="2812695"/>
          <a:ext cx="4574831" cy="5775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Feedback Rating Breakdown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32</xdr:col>
      <xdr:colOff>479894</xdr:colOff>
      <xdr:row>15</xdr:row>
      <xdr:rowOff>166906</xdr:rowOff>
    </xdr:from>
    <xdr:to>
      <xdr:col>49</xdr:col>
      <xdr:colOff>271828</xdr:colOff>
      <xdr:row>38</xdr:row>
      <xdr:rowOff>73270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601F5AE-F78E-46A2-A4A3-3072CD5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381939</xdr:colOff>
      <xdr:row>48</xdr:row>
      <xdr:rowOff>55196</xdr:rowOff>
    </xdr:from>
    <xdr:to>
      <xdr:col>16</xdr:col>
      <xdr:colOff>540482</xdr:colOff>
      <xdr:row>69</xdr:row>
      <xdr:rowOff>60167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52FE85E-20EB-42DC-B0FE-74605B144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24718</xdr:colOff>
      <xdr:row>48</xdr:row>
      <xdr:rowOff>168542</xdr:rowOff>
    </xdr:from>
    <xdr:to>
      <xdr:col>31</xdr:col>
      <xdr:colOff>435753</xdr:colOff>
      <xdr:row>69</xdr:row>
      <xdr:rowOff>18031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8288AE7-BDC4-46ED-B892-43FFE917F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483644</xdr:colOff>
      <xdr:row>0</xdr:row>
      <xdr:rowOff>185014</xdr:rowOff>
    </xdr:from>
    <xdr:ext cx="9940939" cy="126002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C53FADA-29D2-077B-1614-FC290058F423}"/>
            </a:ext>
          </a:extLst>
        </xdr:cNvPr>
        <xdr:cNvSpPr txBox="1"/>
      </xdr:nvSpPr>
      <xdr:spPr>
        <a:xfrm>
          <a:off x="483644" y="185014"/>
          <a:ext cx="9940939" cy="126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7200" b="0">
              <a:latin typeface="3ds Condensed" panose="02000503020000020004" pitchFamily="2" charset="0"/>
            </a:rPr>
            <a:t>Feedback distribution </a:t>
          </a:r>
        </a:p>
      </xdr:txBody>
    </xdr:sp>
    <xdr:clientData/>
  </xdr:oneCellAnchor>
  <xdr:oneCellAnchor>
    <xdr:from>
      <xdr:col>0</xdr:col>
      <xdr:colOff>474864</xdr:colOff>
      <xdr:row>6</xdr:row>
      <xdr:rowOff>44803</xdr:rowOff>
    </xdr:from>
    <xdr:ext cx="3186473" cy="103162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968812A-4668-0F70-E778-4CC07044D3AA}"/>
            </a:ext>
          </a:extLst>
        </xdr:cNvPr>
        <xdr:cNvSpPr txBox="1"/>
      </xdr:nvSpPr>
      <xdr:spPr>
        <a:xfrm>
          <a:off x="474864" y="1187803"/>
          <a:ext cx="3186473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000"/>
            <a:t>Welcome</a:t>
          </a:r>
        </a:p>
      </xdr:txBody>
    </xdr:sp>
    <xdr:clientData/>
  </xdr:oneCellAnchor>
  <xdr:twoCellAnchor>
    <xdr:from>
      <xdr:col>50</xdr:col>
      <xdr:colOff>417448</xdr:colOff>
      <xdr:row>4</xdr:row>
      <xdr:rowOff>142528</xdr:rowOff>
    </xdr:from>
    <xdr:to>
      <xdr:col>60</xdr:col>
      <xdr:colOff>397436</xdr:colOff>
      <xdr:row>70</xdr:row>
      <xdr:rowOff>177800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C08A95-D526-3A9D-20A5-F760666C26B3}"/>
            </a:ext>
          </a:extLst>
        </xdr:cNvPr>
        <xdr:cNvSpPr/>
      </xdr:nvSpPr>
      <xdr:spPr>
        <a:xfrm>
          <a:off x="29627448" y="955328"/>
          <a:ext cx="5821988" cy="13446472"/>
        </a:xfrm>
        <a:prstGeom prst="roundRect">
          <a:avLst>
            <a:gd name="adj" fmla="val 10753"/>
          </a:avLst>
        </a:prstGeom>
        <a:solidFill>
          <a:srgbClr val="EAEAEA"/>
        </a:solidFill>
        <a:ln>
          <a:noFill/>
        </a:ln>
        <a:effectLst>
          <a:outerShdw blurRad="774700" sx="107000" sy="107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270342</xdr:colOff>
      <xdr:row>6</xdr:row>
      <xdr:rowOff>140073</xdr:rowOff>
    </xdr:from>
    <xdr:to>
      <xdr:col>60</xdr:col>
      <xdr:colOff>60232</xdr:colOff>
      <xdr:row>9</xdr:row>
      <xdr:rowOff>14008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604BBC-9733-E3E2-2217-B69442A787CD}"/>
            </a:ext>
          </a:extLst>
        </xdr:cNvPr>
        <xdr:cNvSpPr txBox="1"/>
      </xdr:nvSpPr>
      <xdr:spPr>
        <a:xfrm>
          <a:off x="29416842" y="1283073"/>
          <a:ext cx="4933390" cy="445435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atin typeface="3ds Condensed" panose="02000503020000020004" pitchFamily="2" charset="0"/>
            </a:rPr>
            <a:t>AI Recommended Action (Highest Risk)</a:t>
          </a:r>
        </a:p>
      </xdr:txBody>
    </xdr:sp>
    <xdr:clientData/>
  </xdr:twoCellAnchor>
  <xdr:oneCellAnchor>
    <xdr:from>
      <xdr:col>51</xdr:col>
      <xdr:colOff>154080</xdr:colOff>
      <xdr:row>11</xdr:row>
      <xdr:rowOff>14008</xdr:rowOff>
    </xdr:from>
    <xdr:ext cx="873509" cy="616707"/>
    <xdr:sp macro="" textlink="Output!B2">
      <xdr:nvSpPr>
        <xdr:cNvPr id="10" name="TextBox 9">
          <a:extLst>
            <a:ext uri="{FF2B5EF4-FFF2-40B4-BE49-F238E27FC236}">
              <a16:creationId xmlns:a16="http://schemas.microsoft.com/office/drawing/2014/main" id="{F21067C8-B7C8-9340-B301-2A61819B0CC8}"/>
            </a:ext>
          </a:extLst>
        </xdr:cNvPr>
        <xdr:cNvSpPr txBox="1"/>
      </xdr:nvSpPr>
      <xdr:spPr>
        <a:xfrm>
          <a:off x="29300580" y="2109508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152400</xdr:colOff>
      <xdr:row>14</xdr:row>
      <xdr:rowOff>132790</xdr:rowOff>
    </xdr:from>
    <xdr:ext cx="4946277" cy="1219373"/>
    <xdr:sp macro="" textlink="Output!G2">
      <xdr:nvSpPr>
        <xdr:cNvPr id="15" name="TextBox 14">
          <a:extLst>
            <a:ext uri="{FF2B5EF4-FFF2-40B4-BE49-F238E27FC236}">
              <a16:creationId xmlns:a16="http://schemas.microsoft.com/office/drawing/2014/main" id="{E22F80B0-2971-163D-3A2C-DA0861ADF1A1}"/>
            </a:ext>
          </a:extLst>
        </xdr:cNvPr>
        <xdr:cNvSpPr txBox="1"/>
      </xdr:nvSpPr>
      <xdr:spPr>
        <a:xfrm>
          <a:off x="29298900" y="2799790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5D8CA1D-922D-408A-9F94-EFC575500E7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Immediate maintenance required for ATM network. Check for hardware failures and cash availability.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264459</xdr:colOff>
      <xdr:row>22</xdr:row>
      <xdr:rowOff>61349</xdr:rowOff>
    </xdr:from>
    <xdr:ext cx="812658" cy="616707"/>
    <xdr:sp macro="" textlink="Output!B3">
      <xdr:nvSpPr>
        <xdr:cNvPr id="22" name="TextBox 21">
          <a:extLst>
            <a:ext uri="{FF2B5EF4-FFF2-40B4-BE49-F238E27FC236}">
              <a16:creationId xmlns:a16="http://schemas.microsoft.com/office/drawing/2014/main" id="{CB4E03F9-E630-55C7-3857-0ECF422FAD01}"/>
            </a:ext>
          </a:extLst>
        </xdr:cNvPr>
        <xdr:cNvSpPr txBox="1"/>
      </xdr:nvSpPr>
      <xdr:spPr>
        <a:xfrm>
          <a:off x="29410959" y="4252349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258576</xdr:colOff>
      <xdr:row>25</xdr:row>
      <xdr:rowOff>166118</xdr:rowOff>
    </xdr:from>
    <xdr:ext cx="4946277" cy="1219373"/>
    <xdr:sp macro="" textlink="Output!G3">
      <xdr:nvSpPr>
        <xdr:cNvPr id="35" name="TextBox 34">
          <a:extLst>
            <a:ext uri="{FF2B5EF4-FFF2-40B4-BE49-F238E27FC236}">
              <a16:creationId xmlns:a16="http://schemas.microsoft.com/office/drawing/2014/main" id="{8F5B64EC-9D95-ED2E-9833-6DFB1125237A}"/>
            </a:ext>
          </a:extLst>
        </xdr:cNvPr>
        <xdr:cNvSpPr txBox="1"/>
      </xdr:nvSpPr>
      <xdr:spPr>
        <a:xfrm>
          <a:off x="30330362" y="4701832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10FCFC4-9048-4915-9AEA-F5DF7D883657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Immediate investigation required. Escalate to senior management and deploy dedicated resources.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304799</xdr:colOff>
      <xdr:row>33</xdr:row>
      <xdr:rowOff>96612</xdr:rowOff>
    </xdr:from>
    <xdr:ext cx="2180149" cy="616707"/>
    <xdr:sp macro="" textlink="Output!B4">
      <xdr:nvSpPr>
        <xdr:cNvPr id="36" name="TextBox 35">
          <a:extLst>
            <a:ext uri="{FF2B5EF4-FFF2-40B4-BE49-F238E27FC236}">
              <a16:creationId xmlns:a16="http://schemas.microsoft.com/office/drawing/2014/main" id="{9BE89313-43E1-9934-2740-C4D2AC2913B9}"/>
            </a:ext>
          </a:extLst>
        </xdr:cNvPr>
        <xdr:cNvSpPr txBox="1"/>
      </xdr:nvSpPr>
      <xdr:spPr>
        <a:xfrm>
          <a:off x="30376585" y="6083755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265018</xdr:colOff>
      <xdr:row>36</xdr:row>
      <xdr:rowOff>129786</xdr:rowOff>
    </xdr:from>
    <xdr:ext cx="4966172" cy="1219373"/>
    <xdr:sp macro="" textlink="Output!G4">
      <xdr:nvSpPr>
        <xdr:cNvPr id="37" name="TextBox 36">
          <a:extLst>
            <a:ext uri="{FF2B5EF4-FFF2-40B4-BE49-F238E27FC236}">
              <a16:creationId xmlns:a16="http://schemas.microsoft.com/office/drawing/2014/main" id="{EAD7493F-6971-6266-79B7-B1B26CB668BD}"/>
            </a:ext>
          </a:extLst>
        </xdr:cNvPr>
        <xdr:cNvSpPr txBox="1"/>
      </xdr:nvSpPr>
      <xdr:spPr>
        <a:xfrm>
          <a:off x="30336804" y="7205500"/>
          <a:ext cx="4966172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8E63F75-B191-410E-B9CF-9FC776AED36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241484</xdr:colOff>
      <xdr:row>44</xdr:row>
      <xdr:rowOff>105607</xdr:rowOff>
    </xdr:from>
    <xdr:ext cx="2649187" cy="616707"/>
    <xdr:sp macro="" textlink="Output!B5">
      <xdr:nvSpPr>
        <xdr:cNvPr id="38" name="TextBox 37">
          <a:extLst>
            <a:ext uri="{FF2B5EF4-FFF2-40B4-BE49-F238E27FC236}">
              <a16:creationId xmlns:a16="http://schemas.microsoft.com/office/drawing/2014/main" id="{A5FF90DE-285B-125F-BD31-B2C9C8B470F5}"/>
            </a:ext>
          </a:extLst>
        </xdr:cNvPr>
        <xdr:cNvSpPr txBox="1"/>
      </xdr:nvSpPr>
      <xdr:spPr>
        <a:xfrm>
          <a:off x="29387984" y="8487607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244753</xdr:colOff>
      <xdr:row>48</xdr:row>
      <xdr:rowOff>54901</xdr:rowOff>
    </xdr:from>
    <xdr:ext cx="4946277" cy="1219373"/>
    <xdr:sp macro="" textlink="Output!G5">
      <xdr:nvSpPr>
        <xdr:cNvPr id="39" name="TextBox 38">
          <a:extLst>
            <a:ext uri="{FF2B5EF4-FFF2-40B4-BE49-F238E27FC236}">
              <a16:creationId xmlns:a16="http://schemas.microsoft.com/office/drawing/2014/main" id="{AA54D801-2BF2-0E3F-9A65-2EDB8BE12E1A}"/>
            </a:ext>
          </a:extLst>
        </xdr:cNvPr>
        <xdr:cNvSpPr txBox="1"/>
      </xdr:nvSpPr>
      <xdr:spPr>
        <a:xfrm>
          <a:off x="30316539" y="9489187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2ACE1C8-6B0A-49EF-891C-9FA011980CC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Online banking service running smoothly. Monitor for security threats.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407892</xdr:colOff>
      <xdr:row>56</xdr:row>
      <xdr:rowOff>141746</xdr:rowOff>
    </xdr:from>
    <xdr:ext cx="1289777" cy="616707"/>
    <xdr:sp macro="" textlink="Output!B6">
      <xdr:nvSpPr>
        <xdr:cNvPr id="40" name="TextBox 39">
          <a:extLst>
            <a:ext uri="{FF2B5EF4-FFF2-40B4-BE49-F238E27FC236}">
              <a16:creationId xmlns:a16="http://schemas.microsoft.com/office/drawing/2014/main" id="{A512EBB2-EA99-1E99-2674-2048F1934256}"/>
            </a:ext>
          </a:extLst>
        </xdr:cNvPr>
        <xdr:cNvSpPr txBox="1"/>
      </xdr:nvSpPr>
      <xdr:spPr>
        <a:xfrm>
          <a:off x="29554392" y="10809746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381000</xdr:colOff>
      <xdr:row>59</xdr:row>
      <xdr:rowOff>187036</xdr:rowOff>
    </xdr:from>
    <xdr:ext cx="4946277" cy="843693"/>
    <xdr:sp macro="" textlink="Output!G6">
      <xdr:nvSpPr>
        <xdr:cNvPr id="41" name="TextBox 40">
          <a:extLst>
            <a:ext uri="{FF2B5EF4-FFF2-40B4-BE49-F238E27FC236}">
              <a16:creationId xmlns:a16="http://schemas.microsoft.com/office/drawing/2014/main" id="{BCAC5CD8-A6FE-376D-4C19-E1DD8FDE7E17}"/>
            </a:ext>
          </a:extLst>
        </xdr:cNvPr>
        <xdr:cNvSpPr txBox="1"/>
      </xdr:nvSpPr>
      <xdr:spPr>
        <a:xfrm>
          <a:off x="30452786" y="11783346"/>
          <a:ext cx="4946277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3DE0CF-C0E6-440C-9D1F-3969FAE18E1A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Continue current monitoring practices. Maintain quality standards.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64</xdr:col>
      <xdr:colOff>0</xdr:colOff>
      <xdr:row>46</xdr:row>
      <xdr:rowOff>0</xdr:rowOff>
    </xdr:from>
    <xdr:to>
      <xdr:col>64</xdr:col>
      <xdr:colOff>285750</xdr:colOff>
      <xdr:row>47</xdr:row>
      <xdr:rowOff>66675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E1D3361B-1704-129B-FB03-713E8DF86070}"/>
            </a:ext>
          </a:extLst>
        </xdr:cNvPr>
        <xdr:cNvSpPr txBox="1">
          <a:spLocks noChangeArrowheads="1"/>
        </xdr:cNvSpPr>
      </xdr:nvSpPr>
      <xdr:spPr bwMode="auto">
        <a:xfrm>
          <a:off x="37185600" y="8763000"/>
          <a:ext cx="285750" cy="257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18288" tIns="18288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Highest Risk Area</a:t>
          </a:r>
        </a:p>
        <a:p>
          <a:pPr algn="l" rtl="0">
            <a:defRPr sz="1000"/>
          </a:pPr>
          <a:endParaRPr lang="en-US" sz="1100" b="0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33</xdr:col>
      <xdr:colOff>32697</xdr:colOff>
      <xdr:row>49</xdr:row>
      <xdr:rowOff>111856</xdr:rowOff>
    </xdr:from>
    <xdr:ext cx="873509" cy="616707"/>
    <xdr:sp macro="" textlink="Output!B2">
      <xdr:nvSpPr>
        <xdr:cNvPr id="42" name="TextBox 41">
          <a:extLst>
            <a:ext uri="{FF2B5EF4-FFF2-40B4-BE49-F238E27FC236}">
              <a16:creationId xmlns:a16="http://schemas.microsoft.com/office/drawing/2014/main" id="{964733A3-BF05-98BC-5538-A56CA1D64398}"/>
            </a:ext>
          </a:extLst>
        </xdr:cNvPr>
        <xdr:cNvSpPr txBox="1"/>
      </xdr:nvSpPr>
      <xdr:spPr>
        <a:xfrm>
          <a:off x="19406188" y="9505064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33</xdr:col>
      <xdr:colOff>27622</xdr:colOff>
      <xdr:row>53</xdr:row>
      <xdr:rowOff>21322</xdr:rowOff>
    </xdr:from>
    <xdr:ext cx="812658" cy="616707"/>
    <xdr:sp macro="" textlink="Output!B3">
      <xdr:nvSpPr>
        <xdr:cNvPr id="43" name="TextBox 42">
          <a:extLst>
            <a:ext uri="{FF2B5EF4-FFF2-40B4-BE49-F238E27FC236}">
              <a16:creationId xmlns:a16="http://schemas.microsoft.com/office/drawing/2014/main" id="{9029816B-7FC8-3CBC-5C67-61926A64B091}"/>
            </a:ext>
          </a:extLst>
        </xdr:cNvPr>
        <xdr:cNvSpPr txBox="1"/>
      </xdr:nvSpPr>
      <xdr:spPr>
        <a:xfrm>
          <a:off x="19401113" y="10181322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32</xdr:col>
      <xdr:colOff>561917</xdr:colOff>
      <xdr:row>56</xdr:row>
      <xdr:rowOff>114312</xdr:rowOff>
    </xdr:from>
    <xdr:ext cx="2180149" cy="616707"/>
    <xdr:sp macro="" textlink="Output!B4">
      <xdr:nvSpPr>
        <xdr:cNvPr id="44" name="TextBox 43">
          <a:extLst>
            <a:ext uri="{FF2B5EF4-FFF2-40B4-BE49-F238E27FC236}">
              <a16:creationId xmlns:a16="http://schemas.microsoft.com/office/drawing/2014/main" id="{9A07CFD6-75FA-0FF7-AEED-2462562EA883}"/>
            </a:ext>
          </a:extLst>
        </xdr:cNvPr>
        <xdr:cNvSpPr txBox="1"/>
      </xdr:nvSpPr>
      <xdr:spPr>
        <a:xfrm>
          <a:off x="19348332" y="10849406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32</xdr:col>
      <xdr:colOff>524195</xdr:colOff>
      <xdr:row>60</xdr:row>
      <xdr:rowOff>17380</xdr:rowOff>
    </xdr:from>
    <xdr:ext cx="2649187" cy="616707"/>
    <xdr:sp macro="" textlink="Output!B5">
      <xdr:nvSpPr>
        <xdr:cNvPr id="45" name="TextBox 44">
          <a:extLst>
            <a:ext uri="{FF2B5EF4-FFF2-40B4-BE49-F238E27FC236}">
              <a16:creationId xmlns:a16="http://schemas.microsoft.com/office/drawing/2014/main" id="{74A92F31-BBCC-19EF-847B-3E905DA426E3}"/>
            </a:ext>
          </a:extLst>
        </xdr:cNvPr>
        <xdr:cNvSpPr txBox="1"/>
      </xdr:nvSpPr>
      <xdr:spPr>
        <a:xfrm>
          <a:off x="19310610" y="11519267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32</xdr:col>
      <xdr:colOff>581498</xdr:colOff>
      <xdr:row>63</xdr:row>
      <xdr:rowOff>92005</xdr:rowOff>
    </xdr:from>
    <xdr:ext cx="1289777" cy="616707"/>
    <xdr:sp macro="" textlink="Output!B6">
      <xdr:nvSpPr>
        <xdr:cNvPr id="46" name="TextBox 45">
          <a:extLst>
            <a:ext uri="{FF2B5EF4-FFF2-40B4-BE49-F238E27FC236}">
              <a16:creationId xmlns:a16="http://schemas.microsoft.com/office/drawing/2014/main" id="{9B3752EC-27F4-90DB-BC36-2DD71F0CF74E}"/>
            </a:ext>
          </a:extLst>
        </xdr:cNvPr>
        <xdr:cNvSpPr txBox="1"/>
      </xdr:nvSpPr>
      <xdr:spPr>
        <a:xfrm>
          <a:off x="19367913" y="12168986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35</xdr:col>
      <xdr:colOff>69176</xdr:colOff>
      <xdr:row>50</xdr:row>
      <xdr:rowOff>73192</xdr:rowOff>
    </xdr:from>
    <xdr:ext cx="4946277" cy="468013"/>
    <xdr:sp macro="" textlink="Output!F2">
      <xdr:nvSpPr>
        <xdr:cNvPr id="47" name="TextBox 46">
          <a:extLst>
            <a:ext uri="{FF2B5EF4-FFF2-40B4-BE49-F238E27FC236}">
              <a16:creationId xmlns:a16="http://schemas.microsoft.com/office/drawing/2014/main" id="{3CE6B980-9243-E614-1FED-E87F25831D7C}"/>
            </a:ext>
          </a:extLst>
        </xdr:cNvPr>
        <xdr:cNvSpPr txBox="1"/>
      </xdr:nvSpPr>
      <xdr:spPr>
        <a:xfrm>
          <a:off x="20584561" y="9842423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590813F-EF5C-4831-9060-A55BE0A124CC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No specific issues identified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35366</xdr:colOff>
      <xdr:row>53</xdr:row>
      <xdr:rowOff>114197</xdr:rowOff>
    </xdr:from>
    <xdr:ext cx="4946277" cy="468013"/>
    <xdr:sp macro="" textlink="Output!F3">
      <xdr:nvSpPr>
        <xdr:cNvPr id="48" name="TextBox 47">
          <a:extLst>
            <a:ext uri="{FF2B5EF4-FFF2-40B4-BE49-F238E27FC236}">
              <a16:creationId xmlns:a16="http://schemas.microsoft.com/office/drawing/2014/main" id="{B88EF9D9-3284-A35B-9161-4825F8D55567}"/>
            </a:ext>
          </a:extLst>
        </xdr:cNvPr>
        <xdr:cNvSpPr txBox="1"/>
      </xdr:nvSpPr>
      <xdr:spPr>
        <a:xfrm>
          <a:off x="20550751" y="10469582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46860FD-D2DB-4397-8FD8-65839BE0438F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No specific issues identified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36</xdr:col>
      <xdr:colOff>284898</xdr:colOff>
      <xdr:row>57</xdr:row>
      <xdr:rowOff>79658</xdr:rowOff>
    </xdr:from>
    <xdr:ext cx="6760007" cy="468013"/>
    <xdr:sp macro="" textlink="Output!F4">
      <xdr:nvSpPr>
        <xdr:cNvPr id="49" name="TextBox 48">
          <a:extLst>
            <a:ext uri="{FF2B5EF4-FFF2-40B4-BE49-F238E27FC236}">
              <a16:creationId xmlns:a16="http://schemas.microsoft.com/office/drawing/2014/main" id="{67CF1208-7AC2-B28F-7E51-08CE70CAAAC8}"/>
            </a:ext>
          </a:extLst>
        </xdr:cNvPr>
        <xdr:cNvSpPr txBox="1"/>
      </xdr:nvSpPr>
      <xdr:spPr>
        <a:xfrm>
          <a:off x="21386436" y="11216581"/>
          <a:ext cx="676000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3FE4383-9BDB-48DC-BF2A-4C66AEA8ECC0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slow slow slow slow slow slow slow slow slow slow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37</xdr:col>
      <xdr:colOff>133411</xdr:colOff>
      <xdr:row>61</xdr:row>
      <xdr:rowOff>16294</xdr:rowOff>
    </xdr:from>
    <xdr:ext cx="7633387" cy="468013"/>
    <xdr:sp macro="" textlink="Output!F5">
      <xdr:nvSpPr>
        <xdr:cNvPr id="50" name="TextBox 49">
          <a:extLst>
            <a:ext uri="{FF2B5EF4-FFF2-40B4-BE49-F238E27FC236}">
              <a16:creationId xmlns:a16="http://schemas.microsoft.com/office/drawing/2014/main" id="{D421B572-8635-9114-5A7C-5BD6C1F141AE}"/>
            </a:ext>
          </a:extLst>
        </xdr:cNvPr>
        <xdr:cNvSpPr txBox="1"/>
      </xdr:nvSpPr>
      <xdr:spPr>
        <a:xfrm>
          <a:off x="21278911" y="11636794"/>
          <a:ext cx="763338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D3E3F07-A1E2-4D49-B283-F176B0F09CC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crash crash crash crash crash crash crash crash crash crash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71519</xdr:colOff>
      <xdr:row>64</xdr:row>
      <xdr:rowOff>27954</xdr:rowOff>
    </xdr:from>
    <xdr:ext cx="4946277" cy="468013"/>
    <xdr:sp macro="" textlink="Output!F6">
      <xdr:nvSpPr>
        <xdr:cNvPr id="51" name="TextBox 50">
          <a:extLst>
            <a:ext uri="{FF2B5EF4-FFF2-40B4-BE49-F238E27FC236}">
              <a16:creationId xmlns:a16="http://schemas.microsoft.com/office/drawing/2014/main" id="{05C83A3E-143A-6866-9C98-533CBCD1E542}"/>
            </a:ext>
          </a:extLst>
        </xdr:cNvPr>
        <xdr:cNvSpPr txBox="1"/>
      </xdr:nvSpPr>
      <xdr:spPr>
        <a:xfrm>
          <a:off x="20586904" y="12532569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FEEF308-2751-44A9-AE86-7243B2B8C20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No specific issues identified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45</xdr:col>
      <xdr:colOff>500062</xdr:colOff>
      <xdr:row>6</xdr:row>
      <xdr:rowOff>71437</xdr:rowOff>
    </xdr:from>
    <xdr:to>
      <xdr:col>50</xdr:col>
      <xdr:colOff>47624</xdr:colOff>
      <xdr:row>11</xdr:row>
      <xdr:rowOff>23813</xdr:rowOff>
    </xdr:to>
    <xdr:sp macro="[0]!RunPredictionModel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46FBCE5B-E4FA-2B97-BD59-946752ECB627}"/>
            </a:ext>
          </a:extLst>
        </xdr:cNvPr>
        <xdr:cNvSpPr/>
      </xdr:nvSpPr>
      <xdr:spPr>
        <a:xfrm>
          <a:off x="26217562" y="1214437"/>
          <a:ext cx="2405062" cy="904876"/>
        </a:xfrm>
        <a:prstGeom prst="roundRect">
          <a:avLst>
            <a:gd name="adj" fmla="val 26059"/>
          </a:avLst>
        </a:prstGeom>
        <a:solidFill>
          <a:schemeClr val="bg1"/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31800" sx="124000" sy="124000" algn="ctr" rotWithShape="0">
            <a:schemeClr val="tx1">
              <a:lumMod val="95000"/>
              <a:lumOff val="5000"/>
              <a:alpha val="21000"/>
            </a:scheme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47</xdr:col>
      <xdr:colOff>71437</xdr:colOff>
      <xdr:row>7</xdr:row>
      <xdr:rowOff>23812</xdr:rowOff>
    </xdr:from>
    <xdr:ext cx="822085" cy="611258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5A26D6C-C05D-1CED-7002-518679633DEB}"/>
            </a:ext>
          </a:extLst>
        </xdr:cNvPr>
        <xdr:cNvSpPr txBox="1"/>
      </xdr:nvSpPr>
      <xdr:spPr>
        <a:xfrm>
          <a:off x="26931937" y="1357312"/>
          <a:ext cx="822085" cy="61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latin typeface="3ds Condensed" panose="02000503020000020004" pitchFamily="2" charset="0"/>
            </a:rPr>
            <a:t>Run</a:t>
          </a:r>
        </a:p>
      </xdr:txBody>
    </xdr:sp>
    <xdr:clientData/>
  </xdr:oneCellAnchor>
  <xdr:twoCellAnchor>
    <xdr:from>
      <xdr:col>1</xdr:col>
      <xdr:colOff>46898</xdr:colOff>
      <xdr:row>14</xdr:row>
      <xdr:rowOff>103818</xdr:rowOff>
    </xdr:from>
    <xdr:to>
      <xdr:col>17</xdr:col>
      <xdr:colOff>159334</xdr:colOff>
      <xdr:row>41</xdr:row>
      <xdr:rowOff>104890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1681B-4DBA-4ADC-BCB2-BC27ECE85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14</xdr:row>
      <xdr:rowOff>119062</xdr:rowOff>
    </xdr:from>
    <xdr:to>
      <xdr:col>31</xdr:col>
      <xdr:colOff>203014</xdr:colOff>
      <xdr:row>41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91EF7-3226-49C5-A79C-4F9382EC4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iodun Prosper" refreshedDate="46008.408159259256" createdVersion="8" refreshedVersion="8" minRefreshableVersion="3" recordCount="51" xr:uid="{000524EA-9CFA-430E-8606-1BB343CF1FD0}">
  <cacheSource type="worksheet">
    <worksheetSource ref="A1:G1048576" sheet="Feedback_Data"/>
  </cacheSource>
  <cacheFields count="7">
    <cacheField name="Date" numFmtId="14">
      <sharedItems containsNonDate="0" containsDate="1" containsString="0" containsBlank="1" minDate="2025-01-01T00:00:00" maxDate="2025-02-20T00:00:00"/>
    </cacheField>
    <cacheField name="Customer" numFmtId="0">
      <sharedItems containsBlank="1"/>
    </cacheField>
    <cacheField name="Feedback Type" numFmtId="0">
      <sharedItems containsBlank="1" count="6">
        <s v="Service"/>
        <s v="Online Banking"/>
        <s v="Loan Process"/>
        <s v="App"/>
        <s v="ATM"/>
        <m/>
      </sharedItems>
    </cacheField>
    <cacheField name="Rating (1–5)" numFmtId="0">
      <sharedItems containsString="0" containsBlank="1" containsNumber="1" containsInteger="1" minValue="1" maxValue="5"/>
    </cacheField>
    <cacheField name="Status" numFmtId="0">
      <sharedItems containsBlank="1"/>
    </cacheField>
    <cacheField name="Follow-Up" numFmtId="0">
      <sharedItems containsBlank="1"/>
    </cacheField>
    <cacheField name="Comment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d v="2025-01-01T00:00:00"/>
    <s v="Customer 1"/>
    <x v="0"/>
    <n v="5"/>
    <s v="Resolved"/>
    <s v="No"/>
    <s v="Great service"/>
  </r>
  <r>
    <d v="2025-01-02T00:00:00"/>
    <s v="Customer 2"/>
    <x v="1"/>
    <n v="4"/>
    <s v="Open"/>
    <s v="Yes"/>
    <s v="App crashes"/>
  </r>
  <r>
    <d v="2025-01-03T00:00:00"/>
    <s v="Customer 3"/>
    <x v="2"/>
    <n v="3"/>
    <s v="Resolved"/>
    <s v="No"/>
    <s v="Slow response"/>
  </r>
  <r>
    <d v="2025-01-04T00:00:00"/>
    <s v="Customer 4"/>
    <x v="3"/>
    <n v="2"/>
    <s v="Open"/>
    <s v="Yes"/>
    <s v="ATM issue"/>
  </r>
  <r>
    <d v="2025-01-05T00:00:00"/>
    <s v="Customer 5"/>
    <x v="4"/>
    <n v="1"/>
    <s v="Resolved"/>
    <s v="No"/>
    <s v="Helpful staff"/>
  </r>
  <r>
    <d v="2025-01-06T00:00:00"/>
    <s v="Customer 6"/>
    <x v="0"/>
    <n v="5"/>
    <s v="Resolved"/>
    <s v="No"/>
    <s v="Great service"/>
  </r>
  <r>
    <d v="2025-01-07T00:00:00"/>
    <s v="Customer 7"/>
    <x v="1"/>
    <n v="4"/>
    <s v="Open"/>
    <s v="Yes"/>
    <s v="App crashes"/>
  </r>
  <r>
    <d v="2025-01-08T00:00:00"/>
    <s v="Customer 8"/>
    <x v="2"/>
    <n v="3"/>
    <s v="Resolved"/>
    <s v="No"/>
    <s v="Slow response"/>
  </r>
  <r>
    <d v="2025-01-09T00:00:00"/>
    <s v="Customer 9"/>
    <x v="3"/>
    <n v="2"/>
    <s v="Open"/>
    <s v="Yes"/>
    <s v="ATM issue"/>
  </r>
  <r>
    <d v="2025-01-10T00:00:00"/>
    <s v="Customer 10"/>
    <x v="4"/>
    <n v="1"/>
    <s v="Resolved"/>
    <s v="No"/>
    <s v="Helpful staff"/>
  </r>
  <r>
    <d v="2025-01-11T00:00:00"/>
    <s v="Customer 11"/>
    <x v="0"/>
    <n v="5"/>
    <s v="Resolved"/>
    <s v="No"/>
    <s v="Great service"/>
  </r>
  <r>
    <d v="2025-01-12T00:00:00"/>
    <s v="Customer 12"/>
    <x v="1"/>
    <n v="4"/>
    <s v="Open"/>
    <s v="Yes"/>
    <s v="App crashes"/>
  </r>
  <r>
    <d v="2025-01-13T00:00:00"/>
    <s v="Customer 13"/>
    <x v="2"/>
    <n v="3"/>
    <s v="Resolved"/>
    <s v="No"/>
    <s v="Slow response"/>
  </r>
  <r>
    <d v="2025-01-14T00:00:00"/>
    <s v="Customer 14"/>
    <x v="3"/>
    <n v="2"/>
    <s v="Open"/>
    <s v="Yes"/>
    <s v="ATM issue"/>
  </r>
  <r>
    <d v="2025-01-15T00:00:00"/>
    <s v="Customer 15"/>
    <x v="4"/>
    <n v="1"/>
    <s v="Resolved"/>
    <s v="No"/>
    <s v="Helpful staff"/>
  </r>
  <r>
    <d v="2025-01-16T00:00:00"/>
    <s v="Customer 16"/>
    <x v="0"/>
    <n v="5"/>
    <s v="Resolved"/>
    <s v="No"/>
    <s v="Great service"/>
  </r>
  <r>
    <d v="2025-01-17T00:00:00"/>
    <s v="Customer 17"/>
    <x v="1"/>
    <n v="4"/>
    <s v="Open"/>
    <s v="Yes"/>
    <s v="App crashes"/>
  </r>
  <r>
    <d v="2025-01-18T00:00:00"/>
    <s v="Customer 18"/>
    <x v="2"/>
    <n v="3"/>
    <s v="Resolved"/>
    <s v="No"/>
    <s v="Slow response"/>
  </r>
  <r>
    <d v="2025-01-19T00:00:00"/>
    <s v="Customer 19"/>
    <x v="3"/>
    <n v="2"/>
    <s v="Open"/>
    <s v="Yes"/>
    <s v="ATM issue"/>
  </r>
  <r>
    <d v="2025-01-20T00:00:00"/>
    <s v="Customer 20"/>
    <x v="4"/>
    <n v="1"/>
    <s v="Resolved"/>
    <s v="No"/>
    <s v="Helpful staff"/>
  </r>
  <r>
    <d v="2025-01-21T00:00:00"/>
    <s v="Customer 21"/>
    <x v="0"/>
    <n v="5"/>
    <s v="Resolved"/>
    <s v="No"/>
    <s v="Great service"/>
  </r>
  <r>
    <d v="2025-01-22T00:00:00"/>
    <s v="Customer 22"/>
    <x v="1"/>
    <n v="4"/>
    <s v="Open"/>
    <s v="Yes"/>
    <s v="App crashes"/>
  </r>
  <r>
    <d v="2025-01-23T00:00:00"/>
    <s v="Customer 23"/>
    <x v="2"/>
    <n v="3"/>
    <s v="Resolved"/>
    <s v="No"/>
    <s v="Slow response"/>
  </r>
  <r>
    <d v="2025-01-24T00:00:00"/>
    <s v="Customer 24"/>
    <x v="3"/>
    <n v="2"/>
    <s v="Open"/>
    <s v="Yes"/>
    <s v="ATM issue"/>
  </r>
  <r>
    <d v="2025-01-25T00:00:00"/>
    <s v="Customer 25"/>
    <x v="4"/>
    <n v="1"/>
    <s v="Resolved"/>
    <s v="No"/>
    <s v="Helpful staff"/>
  </r>
  <r>
    <d v="2025-01-26T00:00:00"/>
    <s v="Customer 26"/>
    <x v="0"/>
    <n v="5"/>
    <s v="Resolved"/>
    <s v="No"/>
    <s v="Great service"/>
  </r>
  <r>
    <d v="2025-01-27T00:00:00"/>
    <s v="Customer 27"/>
    <x v="1"/>
    <n v="4"/>
    <s v="Open"/>
    <s v="Yes"/>
    <s v="App crashes"/>
  </r>
  <r>
    <d v="2025-01-28T00:00:00"/>
    <s v="Customer 28"/>
    <x v="2"/>
    <n v="3"/>
    <s v="Resolved"/>
    <s v="No"/>
    <s v="Slow response"/>
  </r>
  <r>
    <d v="2025-01-29T00:00:00"/>
    <s v="Customer 29"/>
    <x v="3"/>
    <n v="2"/>
    <s v="Open"/>
    <s v="Yes"/>
    <s v="ATM issue"/>
  </r>
  <r>
    <d v="2025-01-30T00:00:00"/>
    <s v="Customer 30"/>
    <x v="4"/>
    <n v="1"/>
    <s v="Resolved"/>
    <s v="No"/>
    <s v="Helpful staff"/>
  </r>
  <r>
    <d v="2025-01-31T00:00:00"/>
    <s v="Customer 31"/>
    <x v="0"/>
    <n v="5"/>
    <s v="Resolved"/>
    <s v="No"/>
    <s v="Great service"/>
  </r>
  <r>
    <d v="2025-02-01T00:00:00"/>
    <s v="Customer 32"/>
    <x v="1"/>
    <n v="4"/>
    <s v="Open"/>
    <s v="Yes"/>
    <s v="App crashes"/>
  </r>
  <r>
    <d v="2025-02-02T00:00:00"/>
    <s v="Customer 33"/>
    <x v="2"/>
    <n v="3"/>
    <s v="Resolved"/>
    <s v="No"/>
    <s v="Slow response"/>
  </r>
  <r>
    <d v="2025-02-03T00:00:00"/>
    <s v="Customer 34"/>
    <x v="3"/>
    <n v="2"/>
    <s v="Open"/>
    <s v="Yes"/>
    <s v="ATM issue"/>
  </r>
  <r>
    <d v="2025-02-04T00:00:00"/>
    <s v="Customer 35"/>
    <x v="4"/>
    <n v="1"/>
    <s v="Resolved"/>
    <s v="No"/>
    <s v="Helpful staff"/>
  </r>
  <r>
    <d v="2025-02-05T00:00:00"/>
    <s v="Customer 36"/>
    <x v="0"/>
    <n v="5"/>
    <s v="Resolved"/>
    <s v="No"/>
    <s v="Great service"/>
  </r>
  <r>
    <d v="2025-02-06T00:00:00"/>
    <s v="Customer 37"/>
    <x v="1"/>
    <n v="4"/>
    <s v="Open"/>
    <s v="Yes"/>
    <s v="App crashes"/>
  </r>
  <r>
    <d v="2025-02-07T00:00:00"/>
    <s v="Customer 38"/>
    <x v="2"/>
    <n v="3"/>
    <s v="Resolved"/>
    <s v="No"/>
    <s v="Slow response"/>
  </r>
  <r>
    <d v="2025-02-08T00:00:00"/>
    <s v="Customer 39"/>
    <x v="3"/>
    <n v="2"/>
    <s v="Open"/>
    <s v="Yes"/>
    <s v="ATM issue"/>
  </r>
  <r>
    <d v="2025-02-09T00:00:00"/>
    <s v="Customer 40"/>
    <x v="4"/>
    <n v="1"/>
    <s v="Resolved"/>
    <s v="No"/>
    <s v="Helpful staff"/>
  </r>
  <r>
    <d v="2025-02-10T00:00:00"/>
    <s v="Customer 41"/>
    <x v="0"/>
    <n v="5"/>
    <s v="Resolved"/>
    <s v="No"/>
    <s v="Great service"/>
  </r>
  <r>
    <d v="2025-02-11T00:00:00"/>
    <s v="Customer 42"/>
    <x v="1"/>
    <n v="4"/>
    <s v="Open"/>
    <s v="Yes"/>
    <s v="App crashes"/>
  </r>
  <r>
    <d v="2025-02-12T00:00:00"/>
    <s v="Customer 43"/>
    <x v="2"/>
    <n v="3"/>
    <s v="Resolved"/>
    <s v="No"/>
    <s v="Slow response"/>
  </r>
  <r>
    <d v="2025-02-13T00:00:00"/>
    <s v="Customer 44"/>
    <x v="3"/>
    <n v="2"/>
    <s v="Open"/>
    <s v="Yes"/>
    <s v="ATM issue"/>
  </r>
  <r>
    <d v="2025-02-14T00:00:00"/>
    <s v="Customer 45"/>
    <x v="4"/>
    <n v="1"/>
    <s v="Resolved"/>
    <s v="No"/>
    <s v="Helpful staff"/>
  </r>
  <r>
    <d v="2025-02-15T00:00:00"/>
    <s v="Customer 46"/>
    <x v="0"/>
    <n v="5"/>
    <s v="Resolved"/>
    <s v="No"/>
    <s v="Great service"/>
  </r>
  <r>
    <d v="2025-02-16T00:00:00"/>
    <s v="Customer 47"/>
    <x v="1"/>
    <n v="4"/>
    <s v="Open"/>
    <s v="Yes"/>
    <s v="App crashes"/>
  </r>
  <r>
    <d v="2025-02-17T00:00:00"/>
    <s v="Customer 48"/>
    <x v="2"/>
    <n v="3"/>
    <s v="Resolved"/>
    <s v="No"/>
    <s v="Slow response"/>
  </r>
  <r>
    <d v="2025-02-18T00:00:00"/>
    <s v="Customer 49"/>
    <x v="3"/>
    <n v="2"/>
    <s v="Open"/>
    <s v="Yes"/>
    <s v="ATM issue"/>
  </r>
  <r>
    <d v="2025-02-19T00:00:00"/>
    <s v="Customer 50"/>
    <x v="4"/>
    <n v="1"/>
    <s v="Resolved"/>
    <s v="No"/>
    <s v="Helpful staff"/>
  </r>
  <r>
    <m/>
    <m/>
    <x v="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6937FE-E5F2-4DC3-8BC1-736F6E3B4783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0">
  <location ref="L1:M7" firstHeaderRow="1" firstDataRow="1" firstDataCol="1"/>
  <pivotFields count="7">
    <pivotField showAll="0"/>
    <pivotField showAll="0"/>
    <pivotField axis="axisRow" dataField="1" showAll="0">
      <items count="7">
        <item x="3"/>
        <item x="4"/>
        <item x="2"/>
        <item x="1"/>
        <item x="0"/>
        <item h="1" x="5"/>
        <item t="default"/>
      </items>
    </pivotField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Feedback Type" fld="2" subtotal="count" baseField="0" baseItem="0"/>
  </dataFields>
  <chartFormats count="6"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9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9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9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9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edback_Data" displayName="Feedback_Data" ref="A1:G51" headerRowDxfId="10" dataDxfId="2" totalsRowDxfId="9">
  <autoFilter ref="A1:G51" xr:uid="{00000000-0009-0000-0100-000001000000}"/>
  <tableColumns count="7">
    <tableColumn id="1" xr3:uid="{00000000-0010-0000-0000-000001000000}" name="Date" dataDxfId="0"/>
    <tableColumn id="2" xr3:uid="{00000000-0010-0000-0000-000002000000}" name="Customer" dataDxfId="1"/>
    <tableColumn id="3" xr3:uid="{00000000-0010-0000-0000-000003000000}" name="Feedback Type" dataDxfId="7"/>
    <tableColumn id="4" xr3:uid="{00000000-0010-0000-0000-000004000000}" name="Rating (1–5)" dataDxfId="6"/>
    <tableColumn id="5" xr3:uid="{00000000-0010-0000-0000-000005000000}" name="Status" dataDxfId="5"/>
    <tableColumn id="6" xr3:uid="{00000000-0010-0000-0000-000006000000}" name="Follow-Up" dataDxfId="4"/>
    <tableColumn id="7" xr3:uid="{00000000-0010-0000-0000-000007000000}" name="Comments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EA9AE7-27E0-4EC2-875B-8DCAF3B63397}" name="Table2" displayName="Table2" ref="I1:J5">
  <autoFilter ref="I1:J5" xr:uid="{09EA9AE7-27E0-4EC2-875B-8DCAF3B63397}"/>
  <tableColumns count="2">
    <tableColumn id="1" xr3:uid="{0C1FF807-82EC-4ACF-9D8F-6F0C1B35B774}" name="Metric" totalsRowLabel="Total"/>
    <tableColumn id="2" xr3:uid="{D35EDD63-84DB-487A-A7F4-FD6649D12F35}" name="Output" totalsRowFunction="sum" dataDxfId="8">
      <calculatedColumnFormula>COUNTA(B:B)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9C88-4ACE-446A-9851-E1B84C42EDAA}">
  <sheetPr codeName="Sheet1"/>
  <dimension ref="P48"/>
  <sheetViews>
    <sheetView showGridLines="0" showRowColHeaders="0" tabSelected="1" topLeftCell="Y1" zoomScale="59" zoomScaleNormal="59" workbookViewId="0">
      <selection activeCell="AR10" sqref="AR10"/>
    </sheetView>
  </sheetViews>
  <sheetFormatPr defaultColWidth="8.7109375" defaultRowHeight="15" x14ac:dyDescent="0.25"/>
  <cols>
    <col min="1" max="16384" width="8.7109375" style="5"/>
  </cols>
  <sheetData>
    <row r="48" spans="16:16" x14ac:dyDescent="0.25">
      <c r="P48" s="5" t="s">
        <v>96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640-4295-4469-A699-391B94CAFA58}">
  <sheetPr codeName="Sheet2"/>
  <dimension ref="A1:I6"/>
  <sheetViews>
    <sheetView workbookViewId="0">
      <selection activeCell="E16" sqref="E16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14.42578125" bestFit="1" customWidth="1"/>
    <col min="4" max="4" width="15.7109375" bestFit="1" customWidth="1"/>
    <col min="5" max="5" width="9.7109375" bestFit="1" customWidth="1"/>
    <col min="6" max="6" width="52" bestFit="1" customWidth="1"/>
    <col min="7" max="7" width="93" bestFit="1" customWidth="1"/>
    <col min="8" max="8" width="16.140625" bestFit="1" customWidth="1"/>
    <col min="9" max="9" width="15.85546875" bestFit="1" customWidth="1"/>
  </cols>
  <sheetData>
    <row r="1" spans="1:9" x14ac:dyDescent="0.25">
      <c r="A1" s="7"/>
      <c r="B1" s="7" t="s">
        <v>2</v>
      </c>
      <c r="C1" s="7" t="s">
        <v>74</v>
      </c>
      <c r="D1" s="7" t="s">
        <v>79</v>
      </c>
      <c r="E1" s="7" t="s">
        <v>80</v>
      </c>
      <c r="F1" s="7" t="s">
        <v>81</v>
      </c>
      <c r="G1" s="7" t="s">
        <v>82</v>
      </c>
      <c r="H1" s="7" t="s">
        <v>83</v>
      </c>
      <c r="I1" s="7" t="s">
        <v>84</v>
      </c>
    </row>
    <row r="2" spans="1:9" x14ac:dyDescent="0.25">
      <c r="A2">
        <v>0</v>
      </c>
      <c r="B2" t="s">
        <v>24</v>
      </c>
      <c r="C2">
        <v>1</v>
      </c>
      <c r="D2">
        <v>0</v>
      </c>
      <c r="E2" t="s">
        <v>85</v>
      </c>
      <c r="F2" t="s">
        <v>86</v>
      </c>
      <c r="G2" t="s">
        <v>87</v>
      </c>
      <c r="H2">
        <v>0.75</v>
      </c>
      <c r="I2" s="6">
        <v>46008.469571759262</v>
      </c>
    </row>
    <row r="3" spans="1:9" x14ac:dyDescent="0.25">
      <c r="A3">
        <v>1</v>
      </c>
      <c r="B3" t="s">
        <v>21</v>
      </c>
      <c r="C3">
        <v>2</v>
      </c>
      <c r="D3">
        <v>0</v>
      </c>
      <c r="E3" t="s">
        <v>85</v>
      </c>
      <c r="F3" t="s">
        <v>86</v>
      </c>
      <c r="G3" t="s">
        <v>88</v>
      </c>
      <c r="H3">
        <v>0.625</v>
      </c>
      <c r="I3" s="6">
        <v>46008.469571759262</v>
      </c>
    </row>
    <row r="4" spans="1:9" x14ac:dyDescent="0.25">
      <c r="A4">
        <v>2</v>
      </c>
      <c r="B4" t="s">
        <v>18</v>
      </c>
      <c r="C4">
        <v>3</v>
      </c>
      <c r="D4">
        <v>-0.30000000000000004</v>
      </c>
      <c r="E4" t="s">
        <v>89</v>
      </c>
      <c r="F4" t="s">
        <v>90</v>
      </c>
      <c r="G4" t="s">
        <v>91</v>
      </c>
      <c r="H4">
        <v>0.57499999999999996</v>
      </c>
      <c r="I4" s="6">
        <v>46008.469571759262</v>
      </c>
    </row>
    <row r="5" spans="1:9" x14ac:dyDescent="0.25">
      <c r="A5">
        <v>3</v>
      </c>
      <c r="B5" t="s">
        <v>13</v>
      </c>
      <c r="C5">
        <v>4</v>
      </c>
      <c r="D5">
        <v>0</v>
      </c>
      <c r="E5" t="s">
        <v>92</v>
      </c>
      <c r="F5" t="s">
        <v>93</v>
      </c>
      <c r="G5" t="s">
        <v>94</v>
      </c>
      <c r="H5">
        <v>0.375</v>
      </c>
      <c r="I5" s="6">
        <v>46008.469571759262</v>
      </c>
    </row>
    <row r="6" spans="1:9" x14ac:dyDescent="0.25">
      <c r="A6">
        <v>4</v>
      </c>
      <c r="B6" t="s">
        <v>8</v>
      </c>
      <c r="C6">
        <v>5</v>
      </c>
      <c r="D6">
        <v>0.8</v>
      </c>
      <c r="E6" t="s">
        <v>92</v>
      </c>
      <c r="F6" t="s">
        <v>86</v>
      </c>
      <c r="G6" t="s">
        <v>95</v>
      </c>
      <c r="H6">
        <v>4.9999999999999989E-2</v>
      </c>
      <c r="I6" s="6">
        <v>46008.469571759262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51"/>
  <sheetViews>
    <sheetView zoomScale="98" workbookViewId="0">
      <selection activeCell="I8" sqref="I8"/>
    </sheetView>
  </sheetViews>
  <sheetFormatPr defaultRowHeight="15" x14ac:dyDescent="0.25"/>
  <cols>
    <col min="1" max="1" width="9.7109375" style="8" bestFit="1" customWidth="1"/>
    <col min="2" max="2" width="12" style="1" bestFit="1" customWidth="1"/>
    <col min="3" max="3" width="16.5703125" style="1" bestFit="1" customWidth="1"/>
    <col min="4" max="4" width="13.7109375" style="1" bestFit="1" customWidth="1"/>
    <col min="5" max="5" width="9.140625" style="1"/>
    <col min="6" max="6" width="12.5703125" style="1" bestFit="1" customWidth="1"/>
    <col min="7" max="7" width="14" style="1" bestFit="1" customWidth="1"/>
    <col min="9" max="9" width="23.28515625" bestFit="1" customWidth="1"/>
    <col min="10" max="10" width="10.85546875" customWidth="1"/>
    <col min="12" max="12" width="14.5703125" bestFit="1" customWidth="1"/>
    <col min="13" max="13" width="22.5703125" bestFit="1" customWidth="1"/>
  </cols>
  <sheetData>
    <row r="1" spans="1:13" x14ac:dyDescent="0.25">
      <c r="A1" s="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t="s">
        <v>71</v>
      </c>
      <c r="J1" t="s">
        <v>72</v>
      </c>
      <c r="L1" s="4" t="s">
        <v>76</v>
      </c>
      <c r="M1" t="s">
        <v>78</v>
      </c>
    </row>
    <row r="2" spans="1:13" x14ac:dyDescent="0.25">
      <c r="A2" s="8">
        <v>45658</v>
      </c>
      <c r="B2" s="1" t="s">
        <v>7</v>
      </c>
      <c r="C2" s="1" t="s">
        <v>8</v>
      </c>
      <c r="D2" s="1">
        <v>5</v>
      </c>
      <c r="E2" s="1" t="s">
        <v>9</v>
      </c>
      <c r="F2" s="1" t="s">
        <v>10</v>
      </c>
      <c r="G2" s="1" t="s">
        <v>11</v>
      </c>
      <c r="I2" t="s">
        <v>73</v>
      </c>
      <c r="J2">
        <f>COUNTA(B:B)</f>
        <v>51</v>
      </c>
      <c r="L2" s="1" t="s">
        <v>21</v>
      </c>
      <c r="M2" s="9">
        <v>10</v>
      </c>
    </row>
    <row r="3" spans="1:13" x14ac:dyDescent="0.25">
      <c r="A3" s="8">
        <v>45659</v>
      </c>
      <c r="B3" s="1" t="s">
        <v>12</v>
      </c>
      <c r="C3" s="1" t="s">
        <v>13</v>
      </c>
      <c r="D3" s="1">
        <v>4</v>
      </c>
      <c r="E3" s="1" t="s">
        <v>14</v>
      </c>
      <c r="F3" s="1" t="s">
        <v>15</v>
      </c>
      <c r="G3" s="1" t="s">
        <v>16</v>
      </c>
      <c r="I3" t="s">
        <v>9</v>
      </c>
      <c r="J3" s="2">
        <f>COUNTIF(E:E,#REF!)/COUNTA(E:E)</f>
        <v>0</v>
      </c>
      <c r="L3" s="1" t="s">
        <v>24</v>
      </c>
      <c r="M3" s="9">
        <v>10</v>
      </c>
    </row>
    <row r="4" spans="1:13" x14ac:dyDescent="0.25">
      <c r="A4" s="8">
        <v>45660</v>
      </c>
      <c r="B4" s="1" t="s">
        <v>17</v>
      </c>
      <c r="C4" s="1" t="s">
        <v>18</v>
      </c>
      <c r="D4" s="1">
        <v>3</v>
      </c>
      <c r="E4" s="1" t="s">
        <v>9</v>
      </c>
      <c r="F4" s="1" t="s">
        <v>10</v>
      </c>
      <c r="G4" s="1" t="s">
        <v>19</v>
      </c>
      <c r="I4" t="s">
        <v>74</v>
      </c>
      <c r="J4">
        <f>AVERAGE(Feedback_Data[Rating (1–5)])</f>
        <v>3</v>
      </c>
      <c r="L4" s="1" t="s">
        <v>18</v>
      </c>
      <c r="M4" s="9">
        <v>10</v>
      </c>
    </row>
    <row r="5" spans="1:13" x14ac:dyDescent="0.25">
      <c r="A5" s="8">
        <v>45661</v>
      </c>
      <c r="B5" s="1" t="s">
        <v>20</v>
      </c>
      <c r="C5" s="1" t="s">
        <v>21</v>
      </c>
      <c r="D5" s="1">
        <v>2</v>
      </c>
      <c r="E5" s="1" t="s">
        <v>14</v>
      </c>
      <c r="F5" s="1" t="s">
        <v>15</v>
      </c>
      <c r="G5" s="1" t="s">
        <v>22</v>
      </c>
      <c r="I5" t="s">
        <v>75</v>
      </c>
      <c r="J5" s="3">
        <f>COUNTIF(Feedback_Data[Follow-Up],"Yes") / COUNTA(Feedback_Data[Follow-Up])</f>
        <v>0.4</v>
      </c>
      <c r="L5" s="1" t="s">
        <v>13</v>
      </c>
      <c r="M5" s="9">
        <v>10</v>
      </c>
    </row>
    <row r="6" spans="1:13" x14ac:dyDescent="0.25">
      <c r="A6" s="8">
        <v>45662</v>
      </c>
      <c r="B6" s="1" t="s">
        <v>23</v>
      </c>
      <c r="C6" s="1" t="s">
        <v>24</v>
      </c>
      <c r="D6" s="1">
        <v>1</v>
      </c>
      <c r="E6" s="1" t="s">
        <v>9</v>
      </c>
      <c r="F6" s="1" t="s">
        <v>10</v>
      </c>
      <c r="G6" s="1" t="s">
        <v>25</v>
      </c>
      <c r="L6" s="1" t="s">
        <v>8</v>
      </c>
      <c r="M6" s="9">
        <v>10</v>
      </c>
    </row>
    <row r="7" spans="1:13" x14ac:dyDescent="0.25">
      <c r="A7" s="8">
        <v>45663</v>
      </c>
      <c r="B7" s="1" t="s">
        <v>26</v>
      </c>
      <c r="C7" s="1" t="s">
        <v>8</v>
      </c>
      <c r="D7" s="1">
        <v>5</v>
      </c>
      <c r="E7" s="1" t="s">
        <v>9</v>
      </c>
      <c r="F7" s="1" t="s">
        <v>10</v>
      </c>
      <c r="G7" s="1" t="s">
        <v>11</v>
      </c>
      <c r="L7" s="1" t="s">
        <v>77</v>
      </c>
      <c r="M7" s="9">
        <v>50</v>
      </c>
    </row>
    <row r="8" spans="1:13" x14ac:dyDescent="0.25">
      <c r="A8" s="8">
        <v>45664</v>
      </c>
      <c r="B8" s="1" t="s">
        <v>27</v>
      </c>
      <c r="C8" s="1" t="s">
        <v>13</v>
      </c>
      <c r="D8" s="1">
        <v>4</v>
      </c>
      <c r="E8" s="1" t="s">
        <v>14</v>
      </c>
      <c r="F8" s="1" t="s">
        <v>15</v>
      </c>
      <c r="G8" s="1" t="s">
        <v>16</v>
      </c>
      <c r="L8" s="10" t="s">
        <v>97</v>
      </c>
      <c r="M8" s="10"/>
    </row>
    <row r="9" spans="1:13" ht="15" customHeight="1" x14ac:dyDescent="0.25">
      <c r="A9" s="8">
        <v>45665</v>
      </c>
      <c r="B9" s="1" t="s">
        <v>28</v>
      </c>
      <c r="C9" s="1" t="s">
        <v>18</v>
      </c>
      <c r="D9" s="1">
        <v>3</v>
      </c>
      <c r="E9" s="1" t="s">
        <v>9</v>
      </c>
      <c r="F9" s="1" t="s">
        <v>10</v>
      </c>
      <c r="G9" s="1" t="s">
        <v>19</v>
      </c>
      <c r="L9" s="10" t="s">
        <v>98</v>
      </c>
      <c r="M9" s="10"/>
    </row>
    <row r="10" spans="1:13" ht="15" customHeight="1" x14ac:dyDescent="0.25">
      <c r="A10" s="8">
        <v>45666</v>
      </c>
      <c r="B10" s="1" t="s">
        <v>29</v>
      </c>
      <c r="C10" s="1" t="s">
        <v>21</v>
      </c>
      <c r="D10" s="1">
        <v>2</v>
      </c>
      <c r="E10" s="1" t="s">
        <v>14</v>
      </c>
      <c r="F10" s="1" t="s">
        <v>15</v>
      </c>
      <c r="G10" s="1" t="s">
        <v>22</v>
      </c>
      <c r="L10" s="10"/>
      <c r="M10" s="10"/>
    </row>
    <row r="11" spans="1:13" x14ac:dyDescent="0.25">
      <c r="A11" s="8">
        <v>45667</v>
      </c>
      <c r="B11" s="1" t="s">
        <v>30</v>
      </c>
      <c r="C11" s="1" t="s">
        <v>24</v>
      </c>
      <c r="D11" s="1">
        <v>1</v>
      </c>
      <c r="E11" s="1" t="s">
        <v>9</v>
      </c>
      <c r="F11" s="1" t="s">
        <v>10</v>
      </c>
      <c r="G11" s="1" t="s">
        <v>25</v>
      </c>
      <c r="L11" s="10"/>
      <c r="M11" s="10"/>
    </row>
    <row r="12" spans="1:13" x14ac:dyDescent="0.25">
      <c r="A12" s="8">
        <v>45668</v>
      </c>
      <c r="B12" s="1" t="s">
        <v>31</v>
      </c>
      <c r="C12" s="1" t="s">
        <v>8</v>
      </c>
      <c r="D12" s="1">
        <v>5</v>
      </c>
      <c r="E12" s="1" t="s">
        <v>9</v>
      </c>
      <c r="F12" s="1" t="s">
        <v>10</v>
      </c>
      <c r="G12" s="1" t="s">
        <v>11</v>
      </c>
      <c r="J12">
        <v>1</v>
      </c>
    </row>
    <row r="13" spans="1:13" x14ac:dyDescent="0.25">
      <c r="A13" s="8">
        <v>45669</v>
      </c>
      <c r="B13" s="1" t="s">
        <v>32</v>
      </c>
      <c r="C13" s="1" t="s">
        <v>13</v>
      </c>
      <c r="D13" s="1">
        <v>4</v>
      </c>
      <c r="E13" s="1" t="s">
        <v>14</v>
      </c>
      <c r="F13" s="1" t="s">
        <v>15</v>
      </c>
      <c r="G13" s="1" t="s">
        <v>16</v>
      </c>
    </row>
    <row r="14" spans="1:13" x14ac:dyDescent="0.25">
      <c r="A14" s="8">
        <v>45670</v>
      </c>
      <c r="B14" s="1" t="s">
        <v>33</v>
      </c>
      <c r="C14" s="1" t="s">
        <v>18</v>
      </c>
      <c r="D14" s="1">
        <v>3</v>
      </c>
      <c r="E14" s="1" t="s">
        <v>9</v>
      </c>
      <c r="F14" s="1" t="s">
        <v>10</v>
      </c>
      <c r="G14" s="1" t="s">
        <v>19</v>
      </c>
    </row>
    <row r="15" spans="1:13" x14ac:dyDescent="0.25">
      <c r="A15" s="8">
        <v>45671</v>
      </c>
      <c r="B15" s="1" t="s">
        <v>34</v>
      </c>
      <c r="C15" s="1" t="s">
        <v>21</v>
      </c>
      <c r="D15" s="1">
        <v>2</v>
      </c>
      <c r="E15" s="1" t="s">
        <v>14</v>
      </c>
      <c r="F15" s="1" t="s">
        <v>15</v>
      </c>
      <c r="G15" s="1" t="s">
        <v>22</v>
      </c>
    </row>
    <row r="16" spans="1:13" x14ac:dyDescent="0.25">
      <c r="A16" s="8">
        <v>45672</v>
      </c>
      <c r="B16" s="1" t="s">
        <v>35</v>
      </c>
      <c r="C16" s="1" t="s">
        <v>24</v>
      </c>
      <c r="D16" s="1">
        <v>1</v>
      </c>
      <c r="E16" s="1" t="s">
        <v>9</v>
      </c>
      <c r="F16" s="1" t="s">
        <v>10</v>
      </c>
      <c r="G16" s="1" t="s">
        <v>25</v>
      </c>
    </row>
    <row r="17" spans="1:7" x14ac:dyDescent="0.25">
      <c r="A17" s="8">
        <v>45673</v>
      </c>
      <c r="B17" s="1" t="s">
        <v>36</v>
      </c>
      <c r="C17" s="1" t="s">
        <v>8</v>
      </c>
      <c r="D17" s="1">
        <v>5</v>
      </c>
      <c r="E17" s="1" t="s">
        <v>9</v>
      </c>
      <c r="F17" s="1" t="s">
        <v>10</v>
      </c>
      <c r="G17" s="1" t="s">
        <v>11</v>
      </c>
    </row>
    <row r="18" spans="1:7" x14ac:dyDescent="0.25">
      <c r="A18" s="8">
        <v>45674</v>
      </c>
      <c r="B18" s="1" t="s">
        <v>37</v>
      </c>
      <c r="C18" s="1" t="s">
        <v>13</v>
      </c>
      <c r="D18" s="1">
        <v>4</v>
      </c>
      <c r="E18" s="1" t="s">
        <v>14</v>
      </c>
      <c r="F18" s="1" t="s">
        <v>15</v>
      </c>
      <c r="G18" s="1" t="s">
        <v>16</v>
      </c>
    </row>
    <row r="19" spans="1:7" x14ac:dyDescent="0.25">
      <c r="A19" s="8">
        <v>45675</v>
      </c>
      <c r="B19" s="1" t="s">
        <v>38</v>
      </c>
      <c r="C19" s="1" t="s">
        <v>18</v>
      </c>
      <c r="D19" s="1">
        <v>3</v>
      </c>
      <c r="E19" s="1" t="s">
        <v>9</v>
      </c>
      <c r="F19" s="1" t="s">
        <v>10</v>
      </c>
      <c r="G19" s="1" t="s">
        <v>19</v>
      </c>
    </row>
    <row r="20" spans="1:7" x14ac:dyDescent="0.25">
      <c r="A20" s="8">
        <v>45676</v>
      </c>
      <c r="B20" s="1" t="s">
        <v>39</v>
      </c>
      <c r="C20" s="1" t="s">
        <v>21</v>
      </c>
      <c r="D20" s="1">
        <v>2</v>
      </c>
      <c r="E20" s="1" t="s">
        <v>14</v>
      </c>
      <c r="F20" s="1" t="s">
        <v>15</v>
      </c>
      <c r="G20" s="1" t="s">
        <v>22</v>
      </c>
    </row>
    <row r="21" spans="1:7" x14ac:dyDescent="0.25">
      <c r="A21" s="8">
        <v>45677</v>
      </c>
      <c r="B21" s="1" t="s">
        <v>40</v>
      </c>
      <c r="C21" s="1" t="s">
        <v>24</v>
      </c>
      <c r="D21" s="1">
        <v>1</v>
      </c>
      <c r="E21" s="1" t="s">
        <v>9</v>
      </c>
      <c r="F21" s="1" t="s">
        <v>10</v>
      </c>
      <c r="G21" s="1" t="s">
        <v>25</v>
      </c>
    </row>
    <row r="22" spans="1:7" x14ac:dyDescent="0.25">
      <c r="A22" s="8">
        <v>45678</v>
      </c>
      <c r="B22" s="1" t="s">
        <v>41</v>
      </c>
      <c r="C22" s="1" t="s">
        <v>8</v>
      </c>
      <c r="D22" s="1">
        <v>5</v>
      </c>
      <c r="E22" s="1" t="s">
        <v>9</v>
      </c>
      <c r="F22" s="1" t="s">
        <v>10</v>
      </c>
      <c r="G22" s="1" t="s">
        <v>11</v>
      </c>
    </row>
    <row r="23" spans="1:7" x14ac:dyDescent="0.25">
      <c r="A23" s="8">
        <v>45679</v>
      </c>
      <c r="B23" s="1" t="s">
        <v>42</v>
      </c>
      <c r="C23" s="1" t="s">
        <v>13</v>
      </c>
      <c r="D23" s="1">
        <v>4</v>
      </c>
      <c r="E23" s="1" t="s">
        <v>14</v>
      </c>
      <c r="F23" s="1" t="s">
        <v>15</v>
      </c>
      <c r="G23" s="1" t="s">
        <v>16</v>
      </c>
    </row>
    <row r="24" spans="1:7" x14ac:dyDescent="0.25">
      <c r="A24" s="8">
        <v>45680</v>
      </c>
      <c r="B24" s="1" t="s">
        <v>43</v>
      </c>
      <c r="C24" s="1" t="s">
        <v>18</v>
      </c>
      <c r="D24" s="1">
        <v>3</v>
      </c>
      <c r="E24" s="1" t="s">
        <v>9</v>
      </c>
      <c r="F24" s="1" t="s">
        <v>10</v>
      </c>
      <c r="G24" s="1" t="s">
        <v>19</v>
      </c>
    </row>
    <row r="25" spans="1:7" x14ac:dyDescent="0.25">
      <c r="A25" s="8">
        <v>45681</v>
      </c>
      <c r="B25" s="1" t="s">
        <v>44</v>
      </c>
      <c r="C25" s="1" t="s">
        <v>21</v>
      </c>
      <c r="D25" s="1">
        <v>2</v>
      </c>
      <c r="E25" s="1" t="s">
        <v>14</v>
      </c>
      <c r="F25" s="1" t="s">
        <v>15</v>
      </c>
      <c r="G25" s="1" t="s">
        <v>22</v>
      </c>
    </row>
    <row r="26" spans="1:7" x14ac:dyDescent="0.25">
      <c r="A26" s="8">
        <v>45682</v>
      </c>
      <c r="B26" s="1" t="s">
        <v>45</v>
      </c>
      <c r="C26" s="1" t="s">
        <v>24</v>
      </c>
      <c r="D26" s="1">
        <v>1</v>
      </c>
      <c r="E26" s="1" t="s">
        <v>9</v>
      </c>
      <c r="F26" s="1" t="s">
        <v>10</v>
      </c>
      <c r="G26" s="1" t="s">
        <v>25</v>
      </c>
    </row>
    <row r="27" spans="1:7" x14ac:dyDescent="0.25">
      <c r="A27" s="8">
        <v>45683</v>
      </c>
      <c r="B27" s="1" t="s">
        <v>46</v>
      </c>
      <c r="C27" s="1" t="s">
        <v>8</v>
      </c>
      <c r="D27" s="1">
        <v>5</v>
      </c>
      <c r="E27" s="1" t="s">
        <v>9</v>
      </c>
      <c r="F27" s="1" t="s">
        <v>10</v>
      </c>
      <c r="G27" s="1" t="s">
        <v>11</v>
      </c>
    </row>
    <row r="28" spans="1:7" x14ac:dyDescent="0.25">
      <c r="A28" s="8">
        <v>45684</v>
      </c>
      <c r="B28" s="1" t="s">
        <v>47</v>
      </c>
      <c r="C28" s="1" t="s">
        <v>13</v>
      </c>
      <c r="D28" s="1">
        <v>4</v>
      </c>
      <c r="E28" s="1" t="s">
        <v>14</v>
      </c>
      <c r="F28" s="1" t="s">
        <v>15</v>
      </c>
      <c r="G28" s="1" t="s">
        <v>16</v>
      </c>
    </row>
    <row r="29" spans="1:7" x14ac:dyDescent="0.25">
      <c r="A29" s="8">
        <v>45685</v>
      </c>
      <c r="B29" s="1" t="s">
        <v>48</v>
      </c>
      <c r="C29" s="1" t="s">
        <v>18</v>
      </c>
      <c r="D29" s="1">
        <v>3</v>
      </c>
      <c r="E29" s="1" t="s">
        <v>9</v>
      </c>
      <c r="F29" s="1" t="s">
        <v>10</v>
      </c>
      <c r="G29" s="1" t="s">
        <v>19</v>
      </c>
    </row>
    <row r="30" spans="1:7" x14ac:dyDescent="0.25">
      <c r="A30" s="8">
        <v>45686</v>
      </c>
      <c r="B30" s="1" t="s">
        <v>49</v>
      </c>
      <c r="C30" s="1" t="s">
        <v>21</v>
      </c>
      <c r="D30" s="1">
        <v>2</v>
      </c>
      <c r="E30" s="1" t="s">
        <v>14</v>
      </c>
      <c r="F30" s="1" t="s">
        <v>15</v>
      </c>
      <c r="G30" s="1" t="s">
        <v>22</v>
      </c>
    </row>
    <row r="31" spans="1:7" x14ac:dyDescent="0.25">
      <c r="A31" s="8">
        <v>45687</v>
      </c>
      <c r="B31" s="1" t="s">
        <v>50</v>
      </c>
      <c r="C31" s="1" t="s">
        <v>24</v>
      </c>
      <c r="D31" s="1">
        <v>1</v>
      </c>
      <c r="E31" s="1" t="s">
        <v>9</v>
      </c>
      <c r="F31" s="1" t="s">
        <v>10</v>
      </c>
      <c r="G31" s="1" t="s">
        <v>25</v>
      </c>
    </row>
    <row r="32" spans="1:7" x14ac:dyDescent="0.25">
      <c r="A32" s="8">
        <v>45688</v>
      </c>
      <c r="B32" s="1" t="s">
        <v>51</v>
      </c>
      <c r="C32" s="1" t="s">
        <v>8</v>
      </c>
      <c r="D32" s="1">
        <v>5</v>
      </c>
      <c r="E32" s="1" t="s">
        <v>9</v>
      </c>
      <c r="F32" s="1" t="s">
        <v>10</v>
      </c>
      <c r="G32" s="1" t="s">
        <v>11</v>
      </c>
    </row>
    <row r="33" spans="1:7" x14ac:dyDescent="0.25">
      <c r="A33" s="8">
        <v>45689</v>
      </c>
      <c r="B33" s="1" t="s">
        <v>52</v>
      </c>
      <c r="C33" s="1" t="s">
        <v>13</v>
      </c>
      <c r="D33" s="1">
        <v>4</v>
      </c>
      <c r="E33" s="1" t="s">
        <v>14</v>
      </c>
      <c r="F33" s="1" t="s">
        <v>15</v>
      </c>
      <c r="G33" s="1" t="s">
        <v>16</v>
      </c>
    </row>
    <row r="34" spans="1:7" x14ac:dyDescent="0.25">
      <c r="A34" s="8">
        <v>45690</v>
      </c>
      <c r="B34" s="1" t="s">
        <v>53</v>
      </c>
      <c r="C34" s="1" t="s">
        <v>18</v>
      </c>
      <c r="D34" s="1">
        <v>3</v>
      </c>
      <c r="E34" s="1" t="s">
        <v>9</v>
      </c>
      <c r="F34" s="1" t="s">
        <v>10</v>
      </c>
      <c r="G34" s="1" t="s">
        <v>19</v>
      </c>
    </row>
    <row r="35" spans="1:7" x14ac:dyDescent="0.25">
      <c r="A35" s="8">
        <v>45691</v>
      </c>
      <c r="B35" s="1" t="s">
        <v>54</v>
      </c>
      <c r="C35" s="1" t="s">
        <v>21</v>
      </c>
      <c r="D35" s="1">
        <v>2</v>
      </c>
      <c r="E35" s="1" t="s">
        <v>14</v>
      </c>
      <c r="F35" s="1" t="s">
        <v>15</v>
      </c>
      <c r="G35" s="1" t="s">
        <v>22</v>
      </c>
    </row>
    <row r="36" spans="1:7" x14ac:dyDescent="0.25">
      <c r="A36" s="8">
        <v>45692</v>
      </c>
      <c r="B36" s="1" t="s">
        <v>55</v>
      </c>
      <c r="C36" s="1" t="s">
        <v>24</v>
      </c>
      <c r="D36" s="1">
        <v>1</v>
      </c>
      <c r="E36" s="1" t="s">
        <v>9</v>
      </c>
      <c r="F36" s="1" t="s">
        <v>10</v>
      </c>
      <c r="G36" s="1" t="s">
        <v>25</v>
      </c>
    </row>
    <row r="37" spans="1:7" x14ac:dyDescent="0.25">
      <c r="A37" s="8">
        <v>45693</v>
      </c>
      <c r="B37" s="1" t="s">
        <v>56</v>
      </c>
      <c r="C37" s="1" t="s">
        <v>8</v>
      </c>
      <c r="D37" s="1">
        <v>5</v>
      </c>
      <c r="E37" s="1" t="s">
        <v>9</v>
      </c>
      <c r="F37" s="1" t="s">
        <v>10</v>
      </c>
      <c r="G37" s="1" t="s">
        <v>11</v>
      </c>
    </row>
    <row r="38" spans="1:7" x14ac:dyDescent="0.25">
      <c r="A38" s="8">
        <v>45694</v>
      </c>
      <c r="B38" s="1" t="s">
        <v>57</v>
      </c>
      <c r="C38" s="1" t="s">
        <v>13</v>
      </c>
      <c r="D38" s="1">
        <v>4</v>
      </c>
      <c r="E38" s="1" t="s">
        <v>14</v>
      </c>
      <c r="F38" s="1" t="s">
        <v>15</v>
      </c>
      <c r="G38" s="1" t="s">
        <v>16</v>
      </c>
    </row>
    <row r="39" spans="1:7" x14ac:dyDescent="0.25">
      <c r="A39" s="8">
        <v>45695</v>
      </c>
      <c r="B39" s="1" t="s">
        <v>58</v>
      </c>
      <c r="C39" s="1" t="s">
        <v>18</v>
      </c>
      <c r="D39" s="1">
        <v>3</v>
      </c>
      <c r="E39" s="1" t="s">
        <v>9</v>
      </c>
      <c r="F39" s="1" t="s">
        <v>10</v>
      </c>
      <c r="G39" s="1" t="s">
        <v>19</v>
      </c>
    </row>
    <row r="40" spans="1:7" x14ac:dyDescent="0.25">
      <c r="A40" s="8">
        <v>45696</v>
      </c>
      <c r="B40" s="1" t="s">
        <v>59</v>
      </c>
      <c r="C40" s="1" t="s">
        <v>21</v>
      </c>
      <c r="D40" s="1">
        <v>2</v>
      </c>
      <c r="E40" s="1" t="s">
        <v>14</v>
      </c>
      <c r="F40" s="1" t="s">
        <v>15</v>
      </c>
      <c r="G40" s="1" t="s">
        <v>22</v>
      </c>
    </row>
    <row r="41" spans="1:7" x14ac:dyDescent="0.25">
      <c r="A41" s="8">
        <v>45697</v>
      </c>
      <c r="B41" s="1" t="s">
        <v>60</v>
      </c>
      <c r="C41" s="1" t="s">
        <v>24</v>
      </c>
      <c r="D41" s="1">
        <v>1</v>
      </c>
      <c r="E41" s="1" t="s">
        <v>9</v>
      </c>
      <c r="F41" s="1" t="s">
        <v>10</v>
      </c>
      <c r="G41" s="1" t="s">
        <v>25</v>
      </c>
    </row>
    <row r="42" spans="1:7" x14ac:dyDescent="0.25">
      <c r="A42" s="8">
        <v>45698</v>
      </c>
      <c r="B42" s="1" t="s">
        <v>61</v>
      </c>
      <c r="C42" s="1" t="s">
        <v>8</v>
      </c>
      <c r="D42" s="1">
        <v>5</v>
      </c>
      <c r="E42" s="1" t="s">
        <v>9</v>
      </c>
      <c r="F42" s="1" t="s">
        <v>10</v>
      </c>
      <c r="G42" s="1" t="s">
        <v>11</v>
      </c>
    </row>
    <row r="43" spans="1:7" x14ac:dyDescent="0.25">
      <c r="A43" s="8">
        <v>45699</v>
      </c>
      <c r="B43" s="1" t="s">
        <v>62</v>
      </c>
      <c r="C43" s="1" t="s">
        <v>13</v>
      </c>
      <c r="D43" s="1">
        <v>4</v>
      </c>
      <c r="E43" s="1" t="s">
        <v>14</v>
      </c>
      <c r="F43" s="1" t="s">
        <v>15</v>
      </c>
      <c r="G43" s="1" t="s">
        <v>16</v>
      </c>
    </row>
    <row r="44" spans="1:7" x14ac:dyDescent="0.25">
      <c r="A44" s="8">
        <v>45700</v>
      </c>
      <c r="B44" s="1" t="s">
        <v>63</v>
      </c>
      <c r="C44" s="1" t="s">
        <v>18</v>
      </c>
      <c r="D44" s="1">
        <v>3</v>
      </c>
      <c r="E44" s="1" t="s">
        <v>9</v>
      </c>
      <c r="F44" s="1" t="s">
        <v>10</v>
      </c>
      <c r="G44" s="1" t="s">
        <v>19</v>
      </c>
    </row>
    <row r="45" spans="1:7" x14ac:dyDescent="0.25">
      <c r="A45" s="8">
        <v>45701</v>
      </c>
      <c r="B45" s="1" t="s">
        <v>64</v>
      </c>
      <c r="C45" s="1" t="s">
        <v>21</v>
      </c>
      <c r="D45" s="1">
        <v>2</v>
      </c>
      <c r="E45" s="1" t="s">
        <v>14</v>
      </c>
      <c r="F45" s="1" t="s">
        <v>15</v>
      </c>
      <c r="G45" s="1" t="s">
        <v>22</v>
      </c>
    </row>
    <row r="46" spans="1:7" x14ac:dyDescent="0.25">
      <c r="A46" s="8">
        <v>45702</v>
      </c>
      <c r="B46" s="1" t="s">
        <v>65</v>
      </c>
      <c r="C46" s="1" t="s">
        <v>24</v>
      </c>
      <c r="D46" s="1">
        <v>1</v>
      </c>
      <c r="E46" s="1" t="s">
        <v>9</v>
      </c>
      <c r="F46" s="1" t="s">
        <v>10</v>
      </c>
      <c r="G46" s="1" t="s">
        <v>25</v>
      </c>
    </row>
    <row r="47" spans="1:7" x14ac:dyDescent="0.25">
      <c r="A47" s="8">
        <v>45703</v>
      </c>
      <c r="B47" s="1" t="s">
        <v>66</v>
      </c>
      <c r="C47" s="1" t="s">
        <v>8</v>
      </c>
      <c r="D47" s="1">
        <v>5</v>
      </c>
      <c r="E47" s="1" t="s">
        <v>9</v>
      </c>
      <c r="F47" s="1" t="s">
        <v>10</v>
      </c>
      <c r="G47" s="1" t="s">
        <v>11</v>
      </c>
    </row>
    <row r="48" spans="1:7" x14ac:dyDescent="0.25">
      <c r="A48" s="8">
        <v>45704</v>
      </c>
      <c r="B48" s="1" t="s">
        <v>67</v>
      </c>
      <c r="C48" s="1" t="s">
        <v>13</v>
      </c>
      <c r="D48" s="1">
        <v>4</v>
      </c>
      <c r="E48" s="1" t="s">
        <v>14</v>
      </c>
      <c r="F48" s="1" t="s">
        <v>15</v>
      </c>
      <c r="G48" s="1" t="s">
        <v>16</v>
      </c>
    </row>
    <row r="49" spans="1:7" x14ac:dyDescent="0.25">
      <c r="A49" s="8">
        <v>45705</v>
      </c>
      <c r="B49" s="1" t="s">
        <v>68</v>
      </c>
      <c r="C49" s="1" t="s">
        <v>18</v>
      </c>
      <c r="D49" s="1">
        <v>3</v>
      </c>
      <c r="E49" s="1" t="s">
        <v>9</v>
      </c>
      <c r="F49" s="1" t="s">
        <v>10</v>
      </c>
      <c r="G49" s="1" t="s">
        <v>19</v>
      </c>
    </row>
    <row r="50" spans="1:7" x14ac:dyDescent="0.25">
      <c r="A50" s="8">
        <v>45706</v>
      </c>
      <c r="B50" s="1" t="s">
        <v>69</v>
      </c>
      <c r="C50" s="1" t="s">
        <v>21</v>
      </c>
      <c r="D50" s="1">
        <v>2</v>
      </c>
      <c r="E50" s="1" t="s">
        <v>14</v>
      </c>
      <c r="F50" s="1" t="s">
        <v>15</v>
      </c>
      <c r="G50" s="1" t="s">
        <v>22</v>
      </c>
    </row>
    <row r="51" spans="1:7" x14ac:dyDescent="0.25">
      <c r="A51" s="8">
        <v>45707</v>
      </c>
      <c r="B51" s="1" t="s">
        <v>70</v>
      </c>
      <c r="C51" s="1" t="s">
        <v>24</v>
      </c>
      <c r="D51" s="1">
        <v>1</v>
      </c>
      <c r="E51" s="1" t="s">
        <v>9</v>
      </c>
      <c r="F51" s="1" t="s">
        <v>10</v>
      </c>
      <c r="G51" s="1" t="s">
        <v>25</v>
      </c>
    </row>
  </sheetData>
  <mergeCells count="2">
    <mergeCell ref="L8:M8"/>
    <mergeCell ref="L9:M11"/>
  </mergeCells>
  <pageMargins left="0.75" right="0.75" top="1" bottom="1" header="0.5" footer="0.5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Output</vt:lpstr>
      <vt:lpstr>Feedback_Data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Abiodun Prosper</cp:lastModifiedBy>
  <dcterms:created xsi:type="dcterms:W3CDTF">2025-10-29T20:20:44Z</dcterms:created>
  <dcterms:modified xsi:type="dcterms:W3CDTF">2025-12-17T10:16:11Z</dcterms:modified>
</cp:coreProperties>
</file>