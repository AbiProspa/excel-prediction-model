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biod\Documents\scratch\scratch\prediction_model\data\"/>
    </mc:Choice>
  </mc:AlternateContent>
  <xr:revisionPtr revIDLastSave="0" documentId="13_ncr:1_{C5A29A47-B7C4-4F3E-93AA-8F0BC4325995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9" r:id="rId1"/>
    <sheet name="Output" sheetId="10" r:id="rId2"/>
    <sheet name="Feedback_Data" sheetId="1" r:id="rId3"/>
  </sheets>
  <functionGroups builtInGroupCount="19"/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2" i="1"/>
</calcChain>
</file>

<file path=xl/sharedStrings.xml><?xml version="1.0" encoding="utf-8"?>
<sst xmlns="http://schemas.openxmlformats.org/spreadsheetml/2006/main" count="1242" uniqueCount="413">
  <si>
    <t>Date</t>
  </si>
  <si>
    <t>Customer</t>
  </si>
  <si>
    <t>Feedback Type</t>
  </si>
  <si>
    <t>Rating (1–5)</t>
  </si>
  <si>
    <t>Status</t>
  </si>
  <si>
    <t>Follow-Up</t>
  </si>
  <si>
    <t>Comments</t>
  </si>
  <si>
    <t>Service</t>
  </si>
  <si>
    <t>Resolved</t>
  </si>
  <si>
    <t>Online Banking</t>
  </si>
  <si>
    <t>Loan Process</t>
  </si>
  <si>
    <t>App</t>
  </si>
  <si>
    <t>ATM</t>
  </si>
  <si>
    <t>Metric</t>
  </si>
  <si>
    <t>Output</t>
  </si>
  <si>
    <t>Total Feedback Received</t>
  </si>
  <si>
    <t>Average Rating</t>
  </si>
  <si>
    <t>Requiring Follow-Up</t>
  </si>
  <si>
    <t>Row Labels</t>
  </si>
  <si>
    <t>Grand Total</t>
  </si>
  <si>
    <t>Count of Feedback Type</t>
  </si>
  <si>
    <t>Sentiment Score</t>
  </si>
  <si>
    <t>Risk Level</t>
  </si>
  <si>
    <t>Top Issue Summary</t>
  </si>
  <si>
    <t>Recommendation</t>
  </si>
  <si>
    <t>Probability Score</t>
  </si>
  <si>
    <t>Last Updated</t>
  </si>
  <si>
    <t>Warning</t>
  </si>
  <si>
    <t>Improve follow-up process and monitor trends closely. Schedule review within 2 weeks.</t>
  </si>
  <si>
    <t>+</t>
  </si>
  <si>
    <t>Which channels generate the most feedback?</t>
  </si>
  <si>
    <t>Shows where customer issues are concentrated (ATM, App, Service, etc.)
Great for resource allocation</t>
  </si>
  <si>
    <t>Improve online banking user experience. Address login and navigation issues.</t>
  </si>
  <si>
    <t>Not Resolved</t>
  </si>
  <si>
    <t>Increase ATM cash replenishment frequency. Schedule preventive maintenance.</t>
  </si>
  <si>
    <t>Customer 16</t>
  </si>
  <si>
    <t>Customer 17</t>
  </si>
  <si>
    <t>Customer 18</t>
  </si>
  <si>
    <t>Customer 19</t>
  </si>
  <si>
    <t>Customer 20</t>
  </si>
  <si>
    <t>Customer 21</t>
  </si>
  <si>
    <t>ATM works most of the time</t>
  </si>
  <si>
    <t>Customer 22</t>
  </si>
  <si>
    <t>Customer 23</t>
  </si>
  <si>
    <t>Customer 24</t>
  </si>
  <si>
    <t>Customer 25</t>
  </si>
  <si>
    <t>Customer 26</t>
  </si>
  <si>
    <t>Customer 27</t>
  </si>
  <si>
    <t>Customer 28</t>
  </si>
  <si>
    <t>Customer 29</t>
  </si>
  <si>
    <t>Customer 30</t>
  </si>
  <si>
    <t>Customer 31</t>
  </si>
  <si>
    <t>Customer 32</t>
  </si>
  <si>
    <t>Customer 33</t>
  </si>
  <si>
    <t>Customer 34</t>
  </si>
  <si>
    <t>Customer 35</t>
  </si>
  <si>
    <t>4/25/2025</t>
  </si>
  <si>
    <t>Customer 1</t>
  </si>
  <si>
    <t>Very helpful and polite staff</t>
  </si>
  <si>
    <t>6/24/2025</t>
  </si>
  <si>
    <t>Customer 2</t>
  </si>
  <si>
    <t>Clear loan steps</t>
  </si>
  <si>
    <t>5/22/2025</t>
  </si>
  <si>
    <t>Customer 3</t>
  </si>
  <si>
    <t>6/20/2025</t>
  </si>
  <si>
    <t>Customer 4</t>
  </si>
  <si>
    <t>Frequent login errors</t>
  </si>
  <si>
    <t>5/19/2025</t>
  </si>
  <si>
    <t>Customer 5</t>
  </si>
  <si>
    <t>Good customer service</t>
  </si>
  <si>
    <t>5/4/2025</t>
  </si>
  <si>
    <t>Customer 6</t>
  </si>
  <si>
    <t>Quick withdrawal, slight delay</t>
  </si>
  <si>
    <t>4/4/2025</t>
  </si>
  <si>
    <t>Customer 7</t>
  </si>
  <si>
    <t>Average service experience</t>
  </si>
  <si>
    <t>6/2/2025</t>
  </si>
  <si>
    <t>Customer 8</t>
  </si>
  <si>
    <t>Good app performance</t>
  </si>
  <si>
    <t>Customer 9</t>
  </si>
  <si>
    <t>Process was manageable</t>
  </si>
  <si>
    <t>4/5/2025</t>
  </si>
  <si>
    <t>Customer 10</t>
  </si>
  <si>
    <t>Support eventually helped</t>
  </si>
  <si>
    <t>4/22/2025</t>
  </si>
  <si>
    <t>Customer 11</t>
  </si>
  <si>
    <t>Excellent loan experience</t>
  </si>
  <si>
    <t>6/27/2025</t>
  </si>
  <si>
    <t>Customer 12</t>
  </si>
  <si>
    <t>4/18/2025</t>
  </si>
  <si>
    <t>Customer 13</t>
  </si>
  <si>
    <t>Loan took longer than expected</t>
  </si>
  <si>
    <t>6/5/2025</t>
  </si>
  <si>
    <t>Customer 14</t>
  </si>
  <si>
    <t>4/15/2025</t>
  </si>
  <si>
    <t>Customer 15</t>
  </si>
  <si>
    <t>Excellent online banking</t>
  </si>
  <si>
    <t>Works fine with small issues</t>
  </si>
  <si>
    <t>6/14/2025</t>
  </si>
  <si>
    <t>Friendly staff</t>
  </si>
  <si>
    <t>6/25/2025</t>
  </si>
  <si>
    <t>6/22/2025</t>
  </si>
  <si>
    <t>5/23/2025</t>
  </si>
  <si>
    <t>Login issues sometimes</t>
  </si>
  <si>
    <t>4/29/2025</t>
  </si>
  <si>
    <t>Too many requirements</t>
  </si>
  <si>
    <t>6/12/2025</t>
  </si>
  <si>
    <t>Excellent app experience</t>
  </si>
  <si>
    <t>Online banking is stable</t>
  </si>
  <si>
    <t>6/19/2025</t>
  </si>
  <si>
    <t>6/30/2025</t>
  </si>
  <si>
    <t>ATM failed twice</t>
  </si>
  <si>
    <t>5/10/2025</t>
  </si>
  <si>
    <t>App is okay but laggy</t>
  </si>
  <si>
    <t>5/26/2025</t>
  </si>
  <si>
    <t>Smooth online transactions</t>
  </si>
  <si>
    <t>Staff was unhelpful</t>
  </si>
  <si>
    <t>ATM works but slow</t>
  </si>
  <si>
    <t>6/7/2025</t>
  </si>
  <si>
    <t>Outstanding service</t>
  </si>
  <si>
    <t>6/15/2025</t>
  </si>
  <si>
    <t>4/13/2025</t>
  </si>
  <si>
    <t>4/30/2025</t>
  </si>
  <si>
    <t>Customer 36</t>
  </si>
  <si>
    <t>Customer 37</t>
  </si>
  <si>
    <t>Transaction issues</t>
  </si>
  <si>
    <t>Customer 38</t>
  </si>
  <si>
    <t>Customer 39</t>
  </si>
  <si>
    <t>ATM was offline</t>
  </si>
  <si>
    <t>Customer 40</t>
  </si>
  <si>
    <t>Customer 41</t>
  </si>
  <si>
    <t>5/13/2025</t>
  </si>
  <si>
    <t>Customer 42</t>
  </si>
  <si>
    <t>Customer 43</t>
  </si>
  <si>
    <t>Slow response from support</t>
  </si>
  <si>
    <t>5/31/2025</t>
  </si>
  <si>
    <t>Customer 44</t>
  </si>
  <si>
    <t>App works flawlessly</t>
  </si>
  <si>
    <t>Customer 45</t>
  </si>
  <si>
    <t>Customer 46</t>
  </si>
  <si>
    <t>Extremely rude staff</t>
  </si>
  <si>
    <t>6/16/2025</t>
  </si>
  <si>
    <t>Customer 47</t>
  </si>
  <si>
    <t>6/28/2025</t>
  </si>
  <si>
    <t>Customer 48</t>
  </si>
  <si>
    <t>App very slow</t>
  </si>
  <si>
    <t>Customer 49</t>
  </si>
  <si>
    <t>Customer 50</t>
  </si>
  <si>
    <t>Very fast loan approval</t>
  </si>
  <si>
    <t>4/7/2025</t>
  </si>
  <si>
    <t>Customer 51</t>
  </si>
  <si>
    <t>Customer 52</t>
  </si>
  <si>
    <t>4/8/2025</t>
  </si>
  <si>
    <t>Customer 53</t>
  </si>
  <si>
    <t>5/5/2025</t>
  </si>
  <si>
    <t>Customer 54</t>
  </si>
  <si>
    <t>Poor communication on loan</t>
  </si>
  <si>
    <t>4/28/2025</t>
  </si>
  <si>
    <t>Customer 55</t>
  </si>
  <si>
    <t>4/24/2025</t>
  </si>
  <si>
    <t>Customer 56</t>
  </si>
  <si>
    <t>ATM worked perfectly</t>
  </si>
  <si>
    <t>4/11/2025</t>
  </si>
  <si>
    <t>Customer 57</t>
  </si>
  <si>
    <t>Customer 58</t>
  </si>
  <si>
    <t>Loan approval was smooth</t>
  </si>
  <si>
    <t>Customer 59</t>
  </si>
  <si>
    <t>Very reliable platform</t>
  </si>
  <si>
    <t>5/16/2025</t>
  </si>
  <si>
    <t>Customer 60</t>
  </si>
  <si>
    <t>Customer 61</t>
  </si>
  <si>
    <t>App keeps crashing</t>
  </si>
  <si>
    <t>6/18/2025</t>
  </si>
  <si>
    <t>Customer 62</t>
  </si>
  <si>
    <t>Online banking keeps failing</t>
  </si>
  <si>
    <t>5/3/2025</t>
  </si>
  <si>
    <t>Customer 63</t>
  </si>
  <si>
    <t>Fast and smooth ATM transaction</t>
  </si>
  <si>
    <t>4/6/2025</t>
  </si>
  <si>
    <t>Customer 64</t>
  </si>
  <si>
    <t>Customer 65</t>
  </si>
  <si>
    <t>Minor transaction delays</t>
  </si>
  <si>
    <t>Customer 66</t>
  </si>
  <si>
    <t>Customer 67</t>
  </si>
  <si>
    <t>6/9/2025</t>
  </si>
  <si>
    <t>Customer 68</t>
  </si>
  <si>
    <t>App unusable after update</t>
  </si>
  <si>
    <t>5/29/2025</t>
  </si>
  <si>
    <t>Customer 69</t>
  </si>
  <si>
    <t>Customer 70</t>
  </si>
  <si>
    <t>5/15/2025</t>
  </si>
  <si>
    <t>Customer 71</t>
  </si>
  <si>
    <t>4/21/2025</t>
  </si>
  <si>
    <t>Customer 72</t>
  </si>
  <si>
    <t>Customer 73</t>
  </si>
  <si>
    <t>5/27/2025</t>
  </si>
  <si>
    <t>Customer 74</t>
  </si>
  <si>
    <t>Very confusing loan steps</t>
  </si>
  <si>
    <t>5/1/2025</t>
  </si>
  <si>
    <t>Customer 75</t>
  </si>
  <si>
    <t>Customer 76</t>
  </si>
  <si>
    <t>5/11/2025</t>
  </si>
  <si>
    <t>Customer 77</t>
  </si>
  <si>
    <t>4/19/2025</t>
  </si>
  <si>
    <t>Customer 78</t>
  </si>
  <si>
    <t>5/12/2025</t>
  </si>
  <si>
    <t>Customer 79</t>
  </si>
  <si>
    <t>6/13/2025</t>
  </si>
  <si>
    <t>Customer 80</t>
  </si>
  <si>
    <t>5/17/2025</t>
  </si>
  <si>
    <t>Customer 81</t>
  </si>
  <si>
    <t>Customer 82</t>
  </si>
  <si>
    <t>Customer 83</t>
  </si>
  <si>
    <t>5/18/2025</t>
  </si>
  <si>
    <t>Customer 84</t>
  </si>
  <si>
    <t>6/10/2025</t>
  </si>
  <si>
    <t>Customer 85</t>
  </si>
  <si>
    <t>4/20/2025</t>
  </si>
  <si>
    <t>Customer 86</t>
  </si>
  <si>
    <t>Customer 87</t>
  </si>
  <si>
    <t>Customer 88</t>
  </si>
  <si>
    <t>Customer 89</t>
  </si>
  <si>
    <t>Customer 90</t>
  </si>
  <si>
    <t>Customer 91</t>
  </si>
  <si>
    <t>Login works fine</t>
  </si>
  <si>
    <t>Customer 92</t>
  </si>
  <si>
    <t>Customer 93</t>
  </si>
  <si>
    <t>4/1/2025</t>
  </si>
  <si>
    <t>Customer 94</t>
  </si>
  <si>
    <t>App runs smoothly</t>
  </si>
  <si>
    <t>Customer 95</t>
  </si>
  <si>
    <t>6/17/2025</t>
  </si>
  <si>
    <t>Customer 96</t>
  </si>
  <si>
    <t>Customer 97</t>
  </si>
  <si>
    <t>6/6/2025</t>
  </si>
  <si>
    <t>Customer 98</t>
  </si>
  <si>
    <t>Very poor customer service</t>
  </si>
  <si>
    <t>Customer 99</t>
  </si>
  <si>
    <t>6/29/2025</t>
  </si>
  <si>
    <t>Customer 100</t>
  </si>
  <si>
    <t>4/23/2025</t>
  </si>
  <si>
    <t>Customer 101</t>
  </si>
  <si>
    <t>Customer 102</t>
  </si>
  <si>
    <t>4/26/2025</t>
  </si>
  <si>
    <t>Customer 103</t>
  </si>
  <si>
    <t>Customer 104</t>
  </si>
  <si>
    <t>Customer 105</t>
  </si>
  <si>
    <t>Customer 106</t>
  </si>
  <si>
    <t>Cash dispense error</t>
  </si>
  <si>
    <t>Customer 107</t>
  </si>
  <si>
    <t>Customer 108</t>
  </si>
  <si>
    <t>Customer 109</t>
  </si>
  <si>
    <t>Customer 110</t>
  </si>
  <si>
    <t>6/21/2025</t>
  </si>
  <si>
    <t>Customer 111</t>
  </si>
  <si>
    <t>Customer 112</t>
  </si>
  <si>
    <t>Customer 113</t>
  </si>
  <si>
    <t>Customer 114</t>
  </si>
  <si>
    <t>6/23/2025</t>
  </si>
  <si>
    <t>Customer 115</t>
  </si>
  <si>
    <t>6/8/2025</t>
  </si>
  <si>
    <t>Customer 116</t>
  </si>
  <si>
    <t>5/21/2025</t>
  </si>
  <si>
    <t>Customer 117</t>
  </si>
  <si>
    <t>Customer 118</t>
  </si>
  <si>
    <t>6/26/2025</t>
  </si>
  <si>
    <t>Customer 119</t>
  </si>
  <si>
    <t>Customer 120</t>
  </si>
  <si>
    <t>Customer 121</t>
  </si>
  <si>
    <t>Customer 122</t>
  </si>
  <si>
    <t>4/9/2025</t>
  </si>
  <si>
    <t>Customer 123</t>
  </si>
  <si>
    <t>Customer 124</t>
  </si>
  <si>
    <t>Customer 125</t>
  </si>
  <si>
    <t>Customer 126</t>
  </si>
  <si>
    <t>Customer 127</t>
  </si>
  <si>
    <t>Customer 128</t>
  </si>
  <si>
    <t>5/2/2025</t>
  </si>
  <si>
    <t>Customer 129</t>
  </si>
  <si>
    <t>Customer 130</t>
  </si>
  <si>
    <t>4/3/2025</t>
  </si>
  <si>
    <t>Customer 131</t>
  </si>
  <si>
    <t>Cannot login at all</t>
  </si>
  <si>
    <t>Customer 132</t>
  </si>
  <si>
    <t>Customer 133</t>
  </si>
  <si>
    <t>Loan process was terrible</t>
  </si>
  <si>
    <t>Customer 134</t>
  </si>
  <si>
    <t>Customer 135</t>
  </si>
  <si>
    <t>Customer 136</t>
  </si>
  <si>
    <t>Customer 137</t>
  </si>
  <si>
    <t>Customer 138</t>
  </si>
  <si>
    <t>Customer 139</t>
  </si>
  <si>
    <t>Customer 140</t>
  </si>
  <si>
    <t>4/16/2025</t>
  </si>
  <si>
    <t>Customer 141</t>
  </si>
  <si>
    <t>6/4/2025</t>
  </si>
  <si>
    <t>Customer 142</t>
  </si>
  <si>
    <t>Customer 143</t>
  </si>
  <si>
    <t>Customer 144</t>
  </si>
  <si>
    <t>ATM completely unusable</t>
  </si>
  <si>
    <t>Customer 145</t>
  </si>
  <si>
    <t>6/11/2025</t>
  </si>
  <si>
    <t>Customer 146</t>
  </si>
  <si>
    <t>Customer 147</t>
  </si>
  <si>
    <t>Customer 148</t>
  </si>
  <si>
    <t>Customer 149</t>
  </si>
  <si>
    <t>5/25/2025</t>
  </si>
  <si>
    <t>Customer 150</t>
  </si>
  <si>
    <t>Customer 151</t>
  </si>
  <si>
    <t>Customer 152</t>
  </si>
  <si>
    <t>Customer 153</t>
  </si>
  <si>
    <t>Customer 154</t>
  </si>
  <si>
    <t>Customer 155</t>
  </si>
  <si>
    <t>Customer 156</t>
  </si>
  <si>
    <t>Customer 157</t>
  </si>
  <si>
    <t>Customer 158</t>
  </si>
  <si>
    <t>5/8/2025</t>
  </si>
  <si>
    <t>Customer 159</t>
  </si>
  <si>
    <t>Customer 160</t>
  </si>
  <si>
    <t>Customer 161</t>
  </si>
  <si>
    <t>Customer 162</t>
  </si>
  <si>
    <t>6/1/2025</t>
  </si>
  <si>
    <t>Customer 163</t>
  </si>
  <si>
    <t>Customer 164</t>
  </si>
  <si>
    <t>Customer 165</t>
  </si>
  <si>
    <t>Customer 166</t>
  </si>
  <si>
    <t>Customer 167</t>
  </si>
  <si>
    <t>Customer 168</t>
  </si>
  <si>
    <t>Customer 169</t>
  </si>
  <si>
    <t>Customer 170</t>
  </si>
  <si>
    <t>5/6/2025</t>
  </si>
  <si>
    <t>Customer 171</t>
  </si>
  <si>
    <t>Customer 172</t>
  </si>
  <si>
    <t>Customer 173</t>
  </si>
  <si>
    <t>5/7/2025</t>
  </si>
  <si>
    <t>Customer 174</t>
  </si>
  <si>
    <t>4/2/2025</t>
  </si>
  <si>
    <t>Customer 175</t>
  </si>
  <si>
    <t>Customer 176</t>
  </si>
  <si>
    <t>Customer 177</t>
  </si>
  <si>
    <t>Customer 178</t>
  </si>
  <si>
    <t>Customer 179</t>
  </si>
  <si>
    <t>5/9/2025</t>
  </si>
  <si>
    <t>Customer 180</t>
  </si>
  <si>
    <t>4/17/2025</t>
  </si>
  <si>
    <t>Customer 181</t>
  </si>
  <si>
    <t>4/12/2025</t>
  </si>
  <si>
    <t>Customer 182</t>
  </si>
  <si>
    <t>Customer 183</t>
  </si>
  <si>
    <t>Customer 184</t>
  </si>
  <si>
    <t>Customer 185</t>
  </si>
  <si>
    <t>Customer 186</t>
  </si>
  <si>
    <t>Customer 187</t>
  </si>
  <si>
    <t>Customer 188</t>
  </si>
  <si>
    <t>Customer 189</t>
  </si>
  <si>
    <t>Customer 190</t>
  </si>
  <si>
    <t>Customer 191</t>
  </si>
  <si>
    <t>Customer 192</t>
  </si>
  <si>
    <t>Customer 193</t>
  </si>
  <si>
    <t>Customer 194</t>
  </si>
  <si>
    <t>Customer 195</t>
  </si>
  <si>
    <t>Customer 196</t>
  </si>
  <si>
    <t>Customer 197</t>
  </si>
  <si>
    <t>Customer 198</t>
  </si>
  <si>
    <t>Customer 199</t>
  </si>
  <si>
    <t>Customer 200</t>
  </si>
  <si>
    <t>Customer 201</t>
  </si>
  <si>
    <t>Customer 202</t>
  </si>
  <si>
    <t>Customer 203</t>
  </si>
  <si>
    <t>Customer 204</t>
  </si>
  <si>
    <t>Customer 205</t>
  </si>
  <si>
    <t>Customer 206</t>
  </si>
  <si>
    <t>Customer 207</t>
  </si>
  <si>
    <t>Customer 208</t>
  </si>
  <si>
    <t>5/30/2025</t>
  </si>
  <si>
    <t>Customer 209</t>
  </si>
  <si>
    <t>Customer 210</t>
  </si>
  <si>
    <t>Customer 211</t>
  </si>
  <si>
    <t>Customer 212</t>
  </si>
  <si>
    <t>Customer 213</t>
  </si>
  <si>
    <t>Customer 214</t>
  </si>
  <si>
    <t>Customer 215</t>
  </si>
  <si>
    <t>Customer 216</t>
  </si>
  <si>
    <t>Customer 217</t>
  </si>
  <si>
    <t>Customer 218</t>
  </si>
  <si>
    <t>Customer 219</t>
  </si>
  <si>
    <t>Customer 220</t>
  </si>
  <si>
    <t>Customer 221</t>
  </si>
  <si>
    <t>Customer 222</t>
  </si>
  <si>
    <t>Customer 223</t>
  </si>
  <si>
    <t>Customer 224</t>
  </si>
  <si>
    <t>5/24/2025</t>
  </si>
  <si>
    <t>Customer 225</t>
  </si>
  <si>
    <t>Customer 226</t>
  </si>
  <si>
    <t>Customer 227</t>
  </si>
  <si>
    <t>Customer 228</t>
  </si>
  <si>
    <t>Customer 229</t>
  </si>
  <si>
    <t>Customer 230</t>
  </si>
  <si>
    <t>Customer 231</t>
  </si>
  <si>
    <t>5/14/2025</t>
  </si>
  <si>
    <t>Customer 232</t>
  </si>
  <si>
    <t>Customer 233</t>
  </si>
  <si>
    <t>Customer 234</t>
  </si>
  <si>
    <t>Customer 235</t>
  </si>
  <si>
    <t>4/14/2025</t>
  </si>
  <si>
    <t>Customer 236</t>
  </si>
  <si>
    <t>Customer 237</t>
  </si>
  <si>
    <t>Customer 238</t>
  </si>
  <si>
    <t>delay, error, failed</t>
  </si>
  <si>
    <t>crash, issue, login</t>
  </si>
  <si>
    <t>No specific issues identified</t>
  </si>
  <si>
    <t>cannot, delay, error</t>
  </si>
  <si>
    <t>rude, slow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</si>
</sst>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AEAEA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left"/>
    </xf>
    <xf numFmtId="10" fontId="0" fillId="0" borderId="0" xfId="0" applyNumberFormat="1"/>
    <xf numFmtId="9" fontId="0" fillId="0" borderId="0" xfId="0" applyNumberFormat="1"/>
    <xf numFmtId="0" fontId="0" fillId="0" borderId="0" xfId="0" pivotButton="1"/>
    <xf numFmtId="0" fontId="0" fillId="2" borderId="0" xfId="0" applyFill="1"/>
    <xf numFmtId="22" fontId="0" fillId="0" borderId="0" xfId="0" applyNumberFormat="1"/>
    <xf numFmtId="0" fontId="1" fillId="3" borderId="0" xfId="0" applyFont="1" applyFill="1"/>
    <xf numFmtId="14" fontId="0" fillId="0" borderId="0" xfId="0" applyNumberFormat="1" applyAlignment="1">
      <alignment horizontal="left"/>
    </xf>
    <xf numFmtId="0" fontId="1" fillId="3" borderId="0" xfId="1" applyNumberFormat="1" applyFont="1" applyFill="1"/>
    <xf numFmtId="0" fontId="0" fillId="0" borderId="0" xfId="1" applyNumberFormat="1" applyFont="1"/>
    <xf numFmtId="9" fontId="1" fillId="3" borderId="0" xfId="1" applyFont="1" applyFill="1"/>
    <xf numFmtId="9" fontId="0" fillId="0" borderId="0" xfId="1" applyFont="1"/>
    <xf numFmtId="0" fontId="0" fillId="0" borderId="0" xfId="0" applyAlignment="1">
      <alignment horizontal="center" wrapText="1"/>
    </xf>
  </cellXfs>
  <cellStyles count="2">
    <cellStyle name="Normal" xfId="0" builtinId="0"/>
    <cellStyle name="Percent" xfId="1" builtinId="5"/>
  </cellStyles>
  <dxfs count="11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</dxfs>
  <tableStyles count="0" defaultTableStyle="TableStyleMedium9" defaultPivotStyle="PivotStyleLight16"/>
  <colors>
    <mruColors>
      <color rgb="FFF8F8F8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4907507198020203E-2"/>
          <c:y val="1.5991052071615521E-2"/>
          <c:w val="0.94548921310192713"/>
          <c:h val="0.90919063108433107"/>
        </c:manualLayout>
      </c:layout>
      <c:area3DChart>
        <c:grouping val="standard"/>
        <c:varyColors val="0"/>
        <c:ser>
          <c:idx val="0"/>
          <c:order val="0"/>
          <c:tx>
            <c:v>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9A-42CD-9E7A-29570EF37AC6}"/>
            </c:ext>
          </c:extLst>
        </c:ser>
        <c:ser>
          <c:idx val="1"/>
          <c:order val="1"/>
          <c:tx>
            <c:v>2</c:v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280D-41AB-96DA-E6CB0E35F8EA}"/>
            </c:ext>
          </c:extLst>
        </c:ser>
        <c:ser>
          <c:idx val="2"/>
          <c:order val="2"/>
          <c:tx>
            <c:v>3</c:v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30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7-280D-41AB-96DA-E6CB0E35F8EA}"/>
            </c:ext>
          </c:extLst>
        </c:ser>
        <c:ser>
          <c:idx val="3"/>
          <c:order val="3"/>
          <c:tx>
            <c:v>4</c:v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40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280D-41AB-96DA-E6CB0E35F8EA}"/>
            </c:ext>
          </c:extLst>
        </c:ser>
        <c:ser>
          <c:idx val="4"/>
          <c:order val="4"/>
          <c:tx>
            <c:v>5</c:v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9-280D-41AB-96DA-E6CB0E35F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924064"/>
        <c:axId val="1567924544"/>
        <c:axId val="1514911072"/>
      </c:area3DChart>
      <c:catAx>
        <c:axId val="156792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  <c:auto val="1"/>
        <c:lblAlgn val="ctr"/>
        <c:lblOffset val="100"/>
        <c:noMultiLvlLbl val="0"/>
      </c:catAx>
      <c:valAx>
        <c:axId val="156792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064"/>
        <c:crosses val="autoZero"/>
        <c:crossBetween val="midCat"/>
      </c:valAx>
      <c:serAx>
        <c:axId val="1514911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</c:ser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591939134745149"/>
          <c:y val="3.1115725685329576E-3"/>
          <c:w val="7.0140326778641682E-2"/>
          <c:h val="0.910994844985755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44FB16-7C67-42DB-8931-181919B9E737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D901-4D7C-90CD-0702D25660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5D8F83-F17F-4E28-BBFE-21F1D38F95A8}" type="VALUE">
                      <a:rPr lang="en-US" sz="2000" b="1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5246281982250171E-2"/>
                      <c:h val="0.1200243801771882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D901-4D7C-90CD-0702D25660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3D683E-03BD-4E68-9A5F-CA7D5BC10D4E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901-4D7C-90CD-0702D25660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&lt;1/1/2025</c:v>
              </c:pt>
              <c:pt idx="1">
                <c:v>Jan</c:v>
              </c:pt>
              <c:pt idx="2">
                <c:v>Feb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31</c:v>
              </c:pt>
              <c:pt idx="2">
                <c:v>19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BFC-4C73-B337-8A766510C6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19406111"/>
        <c:axId val="319403231"/>
      </c:lineChart>
      <c:catAx>
        <c:axId val="31940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403231"/>
        <c:crosses val="autoZero"/>
        <c:auto val="1"/>
        <c:lblAlgn val="ctr"/>
        <c:lblOffset val="100"/>
        <c:noMultiLvlLbl val="0"/>
      </c:catAx>
      <c:valAx>
        <c:axId val="31940323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1940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9148347348912637E-2"/>
          <c:y val="0.16408315146699728"/>
          <c:w val="0.78666497196093277"/>
          <c:h val="0.6879197235808816"/>
        </c:manualLayout>
      </c:layout>
      <c:bar3DChart>
        <c:barDir val="col"/>
        <c:grouping val="standard"/>
        <c:varyColors val="0"/>
        <c:ser>
          <c:idx val="0"/>
          <c:order val="0"/>
          <c:tx>
            <c:v>Open</c:v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0</c:v>
              </c:pt>
              <c:pt idx="2">
                <c:v>0</c:v>
              </c:pt>
              <c:pt idx="3">
                <c:v>10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7ED-4E5C-A88A-2B8442D7C785}"/>
            </c:ext>
          </c:extLst>
        </c:ser>
        <c:ser>
          <c:idx val="1"/>
          <c:order val="1"/>
          <c:tx>
            <c:v>Resolved</c:v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10</c:v>
              </c:pt>
              <c:pt idx="3">
                <c:v>0</c:v>
              </c:pt>
              <c:pt idx="4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1-B170-4C83-86DF-273667131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29835663"/>
        <c:axId val="1129836143"/>
        <c:axId val="677870303"/>
      </c:bar3DChart>
      <c:catAx>
        <c:axId val="1129835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  <c:auto val="1"/>
        <c:lblAlgn val="ctr"/>
        <c:lblOffset val="100"/>
        <c:noMultiLvlLbl val="0"/>
      </c:catAx>
      <c:valAx>
        <c:axId val="112983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5663"/>
        <c:crosses val="autoZero"/>
        <c:crossBetween val="between"/>
      </c:valAx>
      <c:serAx>
        <c:axId val="67787030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[Feedback_Dashboard_Template.xlsm]Feedback_Data!PivotTable1</c:name>
    <c:fmtId val="1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3.3788914320146295E-2"/>
              <c:y val="1.7686860990026497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E22F8C1B-9687-4BCE-8FF1-480D61108780}" type="CATEGORYNAME">
                  <a:rPr lang="en-US" sz="2800"/>
                  <a:pPr>
                    <a:defRPr/>
                  </a:pPr>
                  <a:t>[CATEGORY NAME]</a:t>
                </a:fld>
                <a:r>
                  <a:rPr lang="en-US" baseline="0"/>
                  <a:t>
</a:t>
                </a:r>
                <a:fld id="{2DA6FDD8-C21A-4B4E-8D7C-0276C538355B}" type="PERCENTAGE">
                  <a:rPr lang="en-US" sz="2400" baseline="0"/>
                  <a:pPr>
                    <a:defRPr/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81282043185769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EB0EF94-870D-439B-B6B0-287861C47268}" type="CATEGORYNAME">
                  <a:rPr lang="en-US" sz="3200"/>
                  <a:pPr>
                    <a:defRPr>
                      <a:solidFill>
                        <a:schemeClr val="accent1"/>
                      </a:solidFill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2EDDECAC-7733-44E0-A035-79F4A807171F}" type="PERCENTAGE">
                  <a:rPr lang="en-US" sz="2400" baseline="0"/>
                  <a:pPr>
                    <a:defRPr>
                      <a:solidFill>
                        <a:schemeClr val="accent1"/>
                      </a:solidFill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4415613176759214E-2"/>
                  <c:h val="0.23306253659196527"/>
                </c:manualLayout>
              </c15:layout>
              <c15:dlblFieldTable/>
              <c15:showDataLabelsRange val="0"/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21799093652595064"/>
              <c:y val="-1.304621656637402E-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C33C2989-9DDF-4A1A-8AD6-5C368FDE2239}" type="CATEGORYNAME">
                  <a:rPr lang="en-US" sz="2800"/>
                  <a:pPr>
                    <a:defRPr>
                      <a:solidFill>
                        <a:schemeClr val="accent1"/>
                      </a:solidFill>
                    </a:defRPr>
                  </a:pPr>
                  <a:t>[CATEGORY NAME]</a:t>
                </a:fld>
                <a:r>
                  <a:rPr lang="en-US" sz="2400" baseline="0"/>
                  <a:t>
</a:t>
                </a:r>
                <a:fld id="{2EEDD7B4-E547-4860-A10A-E19E00EA7D89}" type="PERCENTAGE">
                  <a:rPr lang="en-US" sz="2400" baseline="0"/>
                  <a:pPr>
                    <a:defRPr>
                      <a:solidFill>
                        <a:schemeClr val="accent1"/>
                      </a:solidFill>
                    </a:defRPr>
                  </a:pPr>
                  <a:t>[PERCENTAGE]</a:t>
                </a:fld>
                <a:endParaRPr lang="en-US" sz="24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504804479973763"/>
                  <c:h val="0.19914271829398475"/>
                </c:manualLayout>
              </c15:layout>
              <c15:dlblFieldTable/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9680838068301879E-2"/>
              <c:y val="-0.1016935012416406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D0965936-B372-4A16-AFD0-B68AFC3A36D8}" type="CATEGORYNAME">
                  <a:rPr lang="en-US" sz="2800"/>
                  <a:pPr>
                    <a:defRPr>
                      <a:solidFill>
                        <a:schemeClr val="accent1"/>
                      </a:solidFill>
                    </a:defRPr>
                  </a:pPr>
                  <a:t>[CATEGORY NAME]</a:t>
                </a:fld>
                <a:r>
                  <a:rPr lang="en-US" sz="2800" baseline="0"/>
                  <a:t>
</a:t>
                </a:r>
                <a:fld id="{1609CC2E-5A4F-458D-A8D5-F15942FBCB04}" type="PERCENTAGE">
                  <a:rPr lang="en-US" sz="2800" baseline="0"/>
                  <a:pPr>
                    <a:defRPr>
                      <a:solidFill>
                        <a:schemeClr val="accent1"/>
                      </a:solidFill>
                    </a:defRPr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385170628385352"/>
                  <c:h val="0.27542291297008453"/>
                </c:manualLayout>
              </c15:layout>
              <c15:dlblFieldTable/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2976461737699478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7083517-9670-46A2-835D-AE0BC217D650}" type="CATEGORYNAME">
                  <a:rPr lang="en-US" sz="2800"/>
                  <a:pPr>
                    <a:defRPr>
                      <a:solidFill>
                        <a:schemeClr val="accent1"/>
                      </a:solidFill>
                    </a:defRPr>
                  </a:pPr>
                  <a:t>[CATEGORY NAME]</a:t>
                </a:fld>
                <a:r>
                  <a:rPr lang="en-US" sz="2800" baseline="0"/>
                  <a:t>
</a:t>
                </a:r>
                <a:fld id="{FBB33CA1-4B34-4BA0-8AD8-794DDF559FE2}" type="PERCENTAGE">
                  <a:rPr lang="en-US" sz="2800" baseline="0"/>
                  <a:pPr>
                    <a:defRPr>
                      <a:solidFill>
                        <a:schemeClr val="accent1"/>
                      </a:solidFill>
                    </a:defRPr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Feedback_Data!$M$1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D7A-4C6F-A414-EA45470DE0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D7A-4C6F-A414-EA45470DE0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D7A-4C6F-A414-EA45470DE0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D7A-4C6F-A414-EA45470DE0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D7A-4C6F-A414-EA45470DE0BC}"/>
              </c:ext>
            </c:extLst>
          </c:dPt>
          <c:dLbls>
            <c:dLbl>
              <c:idx val="0"/>
              <c:layout>
                <c:manualLayout>
                  <c:x val="3.3788914320146295E-2"/>
                  <c:y val="1.768686099002649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22F8C1B-9687-4BCE-8FF1-480D61108780}" type="CATEGORYNAME">
                      <a:rPr lang="en-US" sz="2800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DA6FDD8-C21A-4B4E-8D7C-0276C538355B}" type="PERCENTAGE">
                      <a:rPr lang="en-US" sz="2400" baseline="0"/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ED7A-4C6F-A414-EA45470DE0BC}"/>
                </c:ext>
              </c:extLst>
            </c:dLbl>
            <c:dLbl>
              <c:idx val="1"/>
              <c:layout>
                <c:manualLayout>
                  <c:x val="5.081282043185769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EB0EF94-870D-439B-B6B0-287861C47268}" type="CATEGORYNAME">
                      <a:rPr lang="en-US" sz="32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EDDECAC-7733-44E0-A035-79F4A807171F}" type="PERCENTAGE">
                      <a:rPr lang="en-US" sz="24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4415613176759214E-2"/>
                      <c:h val="0.23306253659196527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ED7A-4C6F-A414-EA45470DE0BC}"/>
                </c:ext>
              </c:extLst>
            </c:dLbl>
            <c:dLbl>
              <c:idx val="2"/>
              <c:layout>
                <c:manualLayout>
                  <c:x val="-0.21799093652595064"/>
                  <c:y val="-1.304621656637402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33C2989-9DDF-4A1A-8AD6-5C368FDE2239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400" baseline="0"/>
                      <a:t>
</a:t>
                    </a:r>
                    <a:fld id="{2EEDD7B4-E547-4860-A10A-E19E00EA7D89}" type="PERCENTAGE">
                      <a:rPr lang="en-US" sz="24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4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504804479973763"/>
                      <c:h val="0.1991427182939847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7A-4C6F-A414-EA45470DE0BC}"/>
                </c:ext>
              </c:extLst>
            </c:dLbl>
            <c:dLbl>
              <c:idx val="3"/>
              <c:layout>
                <c:manualLayout>
                  <c:x val="-2.9680838068301879E-2"/>
                  <c:y val="-0.101693501241640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0965936-B372-4A16-AFD0-B68AFC3A36D8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1609CC2E-5A4F-458D-A8D5-F15942FBCB04}" type="PERCENTAGE">
                      <a:rPr lang="en-US" sz="28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385170628385352"/>
                      <c:h val="0.2754229129700845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7A-4C6F-A414-EA45470DE0BC}"/>
                </c:ext>
              </c:extLst>
            </c:dLbl>
            <c:dLbl>
              <c:idx val="4"/>
              <c:layout>
                <c:manualLayout>
                  <c:x val="-2.2976461737699478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7083517-9670-46A2-835D-AE0BC217D650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FBB33CA1-4B34-4BA0-8AD8-794DDF559FE2}" type="PERCENTAGE">
                      <a:rPr lang="en-US" sz="28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ED7A-4C6F-A414-EA45470DE0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Feedback_Data!$L$2:$L$7</c:f>
              <c:strCache>
                <c:ptCount val="5"/>
                <c:pt idx="0">
                  <c:v>App</c:v>
                </c:pt>
                <c:pt idx="1">
                  <c:v>ATM</c:v>
                </c:pt>
                <c:pt idx="2">
                  <c:v>Loan Process</c:v>
                </c:pt>
                <c:pt idx="3">
                  <c:v>Online Banking</c:v>
                </c:pt>
                <c:pt idx="4">
                  <c:v>Service</c:v>
                </c:pt>
              </c:strCache>
            </c:strRef>
          </c:cat>
          <c:val>
            <c:numRef>
              <c:f>Feedback_Data!$M$2:$M$7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7A-4C6F-A414-EA45470DE0B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10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0-C294-440B-8D20-4D6C57BD9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74388735"/>
        <c:axId val="1574384895"/>
        <c:axId val="1400450623"/>
      </c:bar3DChart>
      <c:catAx>
        <c:axId val="157438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  <c:auto val="1"/>
        <c:lblAlgn val="ctr"/>
        <c:lblOffset val="100"/>
        <c:noMultiLvlLbl val="0"/>
      </c:catAx>
      <c:valAx>
        <c:axId val="157438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8735"/>
        <c:crosses val="autoZero"/>
        <c:crossBetween val="between"/>
      </c:valAx>
      <c:serAx>
        <c:axId val="14004506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491637</xdr:colOff>
      <xdr:row>12</xdr:row>
      <xdr:rowOff>0</xdr:rowOff>
    </xdr:from>
    <xdr:to>
      <xdr:col>17</xdr:col>
      <xdr:colOff>341923</xdr:colOff>
      <xdr:row>41</xdr:row>
      <xdr:rowOff>33948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355EF0CE-AB96-17DA-B52C-BC988BCD657D}"/>
            </a:ext>
          </a:extLst>
        </xdr:cNvPr>
        <xdr:cNvSpPr/>
      </xdr:nvSpPr>
      <xdr:spPr>
        <a:xfrm>
          <a:off x="491637" y="2162432"/>
          <a:ext cx="9915894" cy="5259827"/>
        </a:xfrm>
        <a:prstGeom prst="roundRect">
          <a:avLst>
            <a:gd name="adj" fmla="val 1353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147905</xdr:colOff>
      <xdr:row>12</xdr:row>
      <xdr:rowOff>149271</xdr:rowOff>
    </xdr:from>
    <xdr:to>
      <xdr:col>49</xdr:col>
      <xdr:colOff>537308</xdr:colOff>
      <xdr:row>41</xdr:row>
      <xdr:rowOff>79619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E221AF6-710D-62E6-D5CC-7B22161326A0}"/>
            </a:ext>
          </a:extLst>
        </xdr:cNvPr>
        <xdr:cNvSpPr/>
      </xdr:nvSpPr>
      <xdr:spPr>
        <a:xfrm>
          <a:off x="18904828" y="2493886"/>
          <a:ext cx="10354018" cy="5596502"/>
        </a:xfrm>
        <a:prstGeom prst="roundRect">
          <a:avLst>
            <a:gd name="adj" fmla="val 13393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555151</xdr:colOff>
      <xdr:row>12</xdr:row>
      <xdr:rowOff>1</xdr:rowOff>
    </xdr:from>
    <xdr:to>
      <xdr:col>31</xdr:col>
      <xdr:colOff>476250</xdr:colOff>
      <xdr:row>41</xdr:row>
      <xdr:rowOff>73270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628FC8DC-9B0D-B186-B355-62D2E4E9AB64}"/>
            </a:ext>
          </a:extLst>
        </xdr:cNvPr>
        <xdr:cNvSpPr/>
      </xdr:nvSpPr>
      <xdr:spPr>
        <a:xfrm>
          <a:off x="10270651" y="2286001"/>
          <a:ext cx="7922099" cy="5597769"/>
        </a:xfrm>
        <a:prstGeom prst="roundRect">
          <a:avLst>
            <a:gd name="adj" fmla="val 12901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115856</xdr:colOff>
      <xdr:row>43</xdr:row>
      <xdr:rowOff>48847</xdr:rowOff>
    </xdr:from>
    <xdr:to>
      <xdr:col>16</xdr:col>
      <xdr:colOff>428625</xdr:colOff>
      <xdr:row>72</xdr:row>
      <xdr:rowOff>30772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681CB6B3-3BAB-1A83-6FF2-B05771778DDD}"/>
            </a:ext>
          </a:extLst>
        </xdr:cNvPr>
        <xdr:cNvSpPr/>
      </xdr:nvSpPr>
      <xdr:spPr>
        <a:xfrm>
          <a:off x="687356" y="8240347"/>
          <a:ext cx="8885269" cy="5506425"/>
        </a:xfrm>
        <a:prstGeom prst="roundRect">
          <a:avLst>
            <a:gd name="adj" fmla="val 18677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166687</xdr:colOff>
      <xdr:row>43</xdr:row>
      <xdr:rowOff>79495</xdr:rowOff>
    </xdr:from>
    <xdr:to>
      <xdr:col>30</xdr:col>
      <xdr:colOff>452437</xdr:colOff>
      <xdr:row>72</xdr:row>
      <xdr:rowOff>11981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CDFE0A36-1CAD-41EE-843B-C9B1352541C4}"/>
            </a:ext>
          </a:extLst>
        </xdr:cNvPr>
        <xdr:cNvSpPr/>
      </xdr:nvSpPr>
      <xdr:spPr>
        <a:xfrm>
          <a:off x="9882187" y="8270995"/>
          <a:ext cx="7715250" cy="5456986"/>
        </a:xfrm>
        <a:prstGeom prst="roundRect">
          <a:avLst>
            <a:gd name="adj" fmla="val 12804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2000"/>
        </a:p>
      </xdr:txBody>
    </xdr:sp>
    <xdr:clientData/>
  </xdr:twoCellAnchor>
  <xdr:twoCellAnchor>
    <xdr:from>
      <xdr:col>31</xdr:col>
      <xdr:colOff>142876</xdr:colOff>
      <xdr:row>43</xdr:row>
      <xdr:rowOff>186046</xdr:rowOff>
    </xdr:from>
    <xdr:to>
      <xdr:col>41</xdr:col>
      <xdr:colOff>428625</xdr:colOff>
      <xdr:row>71</xdr:row>
      <xdr:rowOff>186226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110F7FBF-C7A4-9A6B-5BAC-B27E0F893BD4}"/>
            </a:ext>
          </a:extLst>
        </xdr:cNvPr>
        <xdr:cNvSpPr/>
      </xdr:nvSpPr>
      <xdr:spPr>
        <a:xfrm>
          <a:off x="17859376" y="8377546"/>
          <a:ext cx="6000749" cy="5334180"/>
        </a:xfrm>
        <a:prstGeom prst="roundRect">
          <a:avLst>
            <a:gd name="adj" fmla="val 10674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37353</xdr:colOff>
      <xdr:row>25</xdr:row>
      <xdr:rowOff>56029</xdr:rowOff>
    </xdr:from>
    <xdr:ext cx="1606176" cy="466912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69E6D876-3BA9-C000-D888-4033B916A6EE}"/>
            </a:ext>
          </a:extLst>
        </xdr:cNvPr>
        <xdr:cNvSpPr txBox="1"/>
      </xdr:nvSpPr>
      <xdr:spPr>
        <a:xfrm>
          <a:off x="5584265" y="4725147"/>
          <a:ext cx="1606176" cy="4669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5</xdr:col>
      <xdr:colOff>304612</xdr:colOff>
      <xdr:row>12</xdr:row>
      <xdr:rowOff>102973</xdr:rowOff>
    </xdr:from>
    <xdr:to>
      <xdr:col>13</xdr:col>
      <xdr:colOff>437636</xdr:colOff>
      <xdr:row>15</xdr:row>
      <xdr:rowOff>105463</xdr:rowOff>
    </xdr:to>
    <xdr:sp macro="" textlink="">
      <xdr:nvSpPr>
        <xdr:cNvPr id="9217" name="Text Box 1">
          <a:extLst>
            <a:ext uri="{FF2B5EF4-FFF2-40B4-BE49-F238E27FC236}">
              <a16:creationId xmlns:a16="http://schemas.microsoft.com/office/drawing/2014/main" id="{BC87D6F3-0C48-897F-2656-151853F39695}"/>
            </a:ext>
          </a:extLst>
        </xdr:cNvPr>
        <xdr:cNvSpPr txBox="1">
          <a:spLocks noChangeArrowheads="1"/>
        </xdr:cNvSpPr>
      </xdr:nvSpPr>
      <xdr:spPr bwMode="auto">
        <a:xfrm>
          <a:off x="3265085" y="2265405"/>
          <a:ext cx="4869781" cy="5430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</a:rPr>
            <a:t>Feedback Type Distribution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21</xdr:col>
      <xdr:colOff>369666</xdr:colOff>
      <xdr:row>12</xdr:row>
      <xdr:rowOff>102973</xdr:rowOff>
    </xdr:from>
    <xdr:to>
      <xdr:col>28</xdr:col>
      <xdr:colOff>360405</xdr:colOff>
      <xdr:row>15</xdr:row>
      <xdr:rowOff>67989</xdr:rowOff>
    </xdr:to>
    <xdr:sp macro="" textlink="">
      <xdr:nvSpPr>
        <xdr:cNvPr id="24" name="Text Box 1">
          <a:extLst>
            <a:ext uri="{FF2B5EF4-FFF2-40B4-BE49-F238E27FC236}">
              <a16:creationId xmlns:a16="http://schemas.microsoft.com/office/drawing/2014/main" id="{8A13EE75-836A-387E-2E66-B0B84EE8D397}"/>
            </a:ext>
          </a:extLst>
        </xdr:cNvPr>
        <xdr:cNvSpPr txBox="1">
          <a:spLocks noChangeArrowheads="1"/>
        </xdr:cNvSpPr>
      </xdr:nvSpPr>
      <xdr:spPr bwMode="auto">
        <a:xfrm>
          <a:off x="12803652" y="2265405"/>
          <a:ext cx="4135402" cy="505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Rating by Feedback Type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458494</xdr:colOff>
      <xdr:row>45</xdr:row>
      <xdr:rowOff>88656</xdr:rowOff>
    </xdr:from>
    <xdr:to>
      <xdr:col>13</xdr:col>
      <xdr:colOff>69695</xdr:colOff>
      <xdr:row>48</xdr:row>
      <xdr:rowOff>23230</xdr:rowOff>
    </xdr:to>
    <xdr:sp macro="" textlink="">
      <xdr:nvSpPr>
        <xdr:cNvPr id="25" name="Text Box 1">
          <a:extLst>
            <a:ext uri="{FF2B5EF4-FFF2-40B4-BE49-F238E27FC236}">
              <a16:creationId xmlns:a16="http://schemas.microsoft.com/office/drawing/2014/main" id="{630F5AF4-E34A-54AB-656B-DB2E955A0752}"/>
            </a:ext>
          </a:extLst>
        </xdr:cNvPr>
        <xdr:cNvSpPr txBox="1">
          <a:spLocks noChangeArrowheads="1"/>
        </xdr:cNvSpPr>
      </xdr:nvSpPr>
      <xdr:spPr bwMode="auto">
        <a:xfrm>
          <a:off x="3943250" y="8452071"/>
          <a:ext cx="3676750" cy="4921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  <a:ea typeface="+mn-ea"/>
              <a:cs typeface="+mn-cs"/>
            </a:rPr>
            <a:t>Feedback</a:t>
          </a:r>
          <a:r>
            <a:rPr lang="en-US" sz="3200">
              <a:latin typeface="3ds Condensed" panose="02000503020000020004" pitchFamily="2" charset="0"/>
            </a:rPr>
            <a:t> Over Time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20</xdr:col>
      <xdr:colOff>45401</xdr:colOff>
      <xdr:row>44</xdr:row>
      <xdr:rowOff>162622</xdr:rowOff>
    </xdr:from>
    <xdr:to>
      <xdr:col>29</xdr:col>
      <xdr:colOff>261936</xdr:colOff>
      <xdr:row>48</xdr:row>
      <xdr:rowOff>27319</xdr:rowOff>
    </xdr:to>
    <xdr:sp macro="" textlink="">
      <xdr:nvSpPr>
        <xdr:cNvPr id="26" name="Text Box 1">
          <a:extLst>
            <a:ext uri="{FF2B5EF4-FFF2-40B4-BE49-F238E27FC236}">
              <a16:creationId xmlns:a16="http://schemas.microsoft.com/office/drawing/2014/main" id="{20053B67-3B46-E775-9AB0-55A75975D3C6}"/>
            </a:ext>
          </a:extLst>
        </xdr:cNvPr>
        <xdr:cNvSpPr txBox="1">
          <a:spLocks noChangeArrowheads="1"/>
        </xdr:cNvSpPr>
      </xdr:nvSpPr>
      <xdr:spPr bwMode="auto">
        <a:xfrm>
          <a:off x="11475401" y="8544622"/>
          <a:ext cx="5360035" cy="62669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Status Count (Open vs Resolved)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34</xdr:col>
      <xdr:colOff>1075</xdr:colOff>
      <xdr:row>45</xdr:row>
      <xdr:rowOff>104631</xdr:rowOff>
    </xdr:from>
    <xdr:to>
      <xdr:col>40</xdr:col>
      <xdr:colOff>0</xdr:colOff>
      <xdr:row>48</xdr:row>
      <xdr:rowOff>119062</xdr:rowOff>
    </xdr:to>
    <xdr:sp macro="" textlink="">
      <xdr:nvSpPr>
        <xdr:cNvPr id="27" name="Text Box 1">
          <a:extLst>
            <a:ext uri="{FF2B5EF4-FFF2-40B4-BE49-F238E27FC236}">
              <a16:creationId xmlns:a16="http://schemas.microsoft.com/office/drawing/2014/main" id="{3ACEA410-9BAA-4FF7-C861-701F21E176B2}"/>
            </a:ext>
          </a:extLst>
        </xdr:cNvPr>
        <xdr:cNvSpPr txBox="1">
          <a:spLocks noChangeArrowheads="1"/>
        </xdr:cNvSpPr>
      </xdr:nvSpPr>
      <xdr:spPr bwMode="auto">
        <a:xfrm>
          <a:off x="19432075" y="8677131"/>
          <a:ext cx="3427925" cy="58593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 i="0" u="none" strike="noStrike" baseline="0">
              <a:solidFill>
                <a:schemeClr val="tx1"/>
              </a:solidFill>
              <a:latin typeface="3ds Condensed" panose="02000503020000020004" pitchFamily="2" charset="0"/>
              <a:ea typeface="Calibri"/>
              <a:cs typeface="Calibri"/>
            </a:rPr>
            <a:t>Top Issue Summary</a:t>
          </a:r>
        </a:p>
      </xdr:txBody>
    </xdr:sp>
    <xdr:clientData/>
  </xdr:twoCellAnchor>
  <xdr:twoCellAnchor>
    <xdr:from>
      <xdr:col>37</xdr:col>
      <xdr:colOff>579807</xdr:colOff>
      <xdr:row>12</xdr:row>
      <xdr:rowOff>167167</xdr:rowOff>
    </xdr:from>
    <xdr:to>
      <xdr:col>45</xdr:col>
      <xdr:colOff>505147</xdr:colOff>
      <xdr:row>15</xdr:row>
      <xdr:rowOff>163539</xdr:rowOff>
    </xdr:to>
    <xdr:sp macro="" textlink="">
      <xdr:nvSpPr>
        <xdr:cNvPr id="28" name="Text Box 1">
          <a:extLst>
            <a:ext uri="{FF2B5EF4-FFF2-40B4-BE49-F238E27FC236}">
              <a16:creationId xmlns:a16="http://schemas.microsoft.com/office/drawing/2014/main" id="{0FB8E9BE-5FEA-662E-2F8F-79F3273D817C}"/>
            </a:ext>
          </a:extLst>
        </xdr:cNvPr>
        <xdr:cNvSpPr txBox="1">
          <a:spLocks noChangeArrowheads="1"/>
        </xdr:cNvSpPr>
      </xdr:nvSpPr>
      <xdr:spPr bwMode="auto">
        <a:xfrm>
          <a:off x="22077732" y="2453167"/>
          <a:ext cx="4573540" cy="5678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Feedback Rating Breakdown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32</xdr:col>
      <xdr:colOff>479894</xdr:colOff>
      <xdr:row>15</xdr:row>
      <xdr:rowOff>166906</xdr:rowOff>
    </xdr:from>
    <xdr:to>
      <xdr:col>49</xdr:col>
      <xdr:colOff>271828</xdr:colOff>
      <xdr:row>38</xdr:row>
      <xdr:rowOff>73270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601F5AE-F78E-46A2-A4A3-3072CD576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381939</xdr:colOff>
      <xdr:row>48</xdr:row>
      <xdr:rowOff>55196</xdr:rowOff>
    </xdr:from>
    <xdr:to>
      <xdr:col>16</xdr:col>
      <xdr:colOff>95250</xdr:colOff>
      <xdr:row>69</xdr:row>
      <xdr:rowOff>60167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452FE85E-20EB-42DC-B0FE-74605B144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24719</xdr:colOff>
      <xdr:row>43</xdr:row>
      <xdr:rowOff>173183</xdr:rowOff>
    </xdr:from>
    <xdr:to>
      <xdr:col>31</xdr:col>
      <xdr:colOff>1</xdr:colOff>
      <xdr:row>71</xdr:row>
      <xdr:rowOff>121227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8288AE7-BDC4-46ED-B892-43FFE917F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483644</xdr:colOff>
      <xdr:row>0</xdr:row>
      <xdr:rowOff>185014</xdr:rowOff>
    </xdr:from>
    <xdr:ext cx="9940939" cy="126002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C53FADA-29D2-077B-1614-FC290058F423}"/>
            </a:ext>
          </a:extLst>
        </xdr:cNvPr>
        <xdr:cNvSpPr txBox="1"/>
      </xdr:nvSpPr>
      <xdr:spPr>
        <a:xfrm>
          <a:off x="483644" y="185014"/>
          <a:ext cx="9940939" cy="1260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7200" b="0">
              <a:latin typeface="3ds Condensed" panose="02000503020000020004" pitchFamily="2" charset="0"/>
            </a:rPr>
            <a:t>Feedback distribution </a:t>
          </a:r>
        </a:p>
      </xdr:txBody>
    </xdr:sp>
    <xdr:clientData/>
  </xdr:oneCellAnchor>
  <xdr:oneCellAnchor>
    <xdr:from>
      <xdr:col>0</xdr:col>
      <xdr:colOff>474864</xdr:colOff>
      <xdr:row>6</xdr:row>
      <xdr:rowOff>44803</xdr:rowOff>
    </xdr:from>
    <xdr:ext cx="3186473" cy="1031629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968812A-4668-0F70-E778-4CC07044D3AA}"/>
            </a:ext>
          </a:extLst>
        </xdr:cNvPr>
        <xdr:cNvSpPr txBox="1"/>
      </xdr:nvSpPr>
      <xdr:spPr>
        <a:xfrm>
          <a:off x="474864" y="1187803"/>
          <a:ext cx="3186473" cy="10316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6000"/>
            <a:t>Welcome</a:t>
          </a:r>
        </a:p>
      </xdr:txBody>
    </xdr:sp>
    <xdr:clientData/>
  </xdr:oneCellAnchor>
  <xdr:twoCellAnchor>
    <xdr:from>
      <xdr:col>50</xdr:col>
      <xdr:colOff>417448</xdr:colOff>
      <xdr:row>7</xdr:row>
      <xdr:rowOff>0</xdr:rowOff>
    </xdr:from>
    <xdr:to>
      <xdr:col>60</xdr:col>
      <xdr:colOff>397436</xdr:colOff>
      <xdr:row>71</xdr:row>
      <xdr:rowOff>153984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1C08A95-D526-3A9D-20A5-F760666C26B3}"/>
            </a:ext>
          </a:extLst>
        </xdr:cNvPr>
        <xdr:cNvSpPr/>
      </xdr:nvSpPr>
      <xdr:spPr>
        <a:xfrm>
          <a:off x="28992448" y="1333500"/>
          <a:ext cx="5694988" cy="12345984"/>
        </a:xfrm>
        <a:prstGeom prst="roundRect">
          <a:avLst>
            <a:gd name="adj" fmla="val 10753"/>
          </a:avLst>
        </a:prstGeom>
        <a:solidFill>
          <a:srgbClr val="EAEAEA"/>
        </a:solidFill>
        <a:ln>
          <a:noFill/>
        </a:ln>
        <a:effectLst>
          <a:outerShdw blurRad="774700" sx="107000" sy="107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270342</xdr:colOff>
      <xdr:row>11</xdr:row>
      <xdr:rowOff>21009</xdr:rowOff>
    </xdr:from>
    <xdr:to>
      <xdr:col>60</xdr:col>
      <xdr:colOff>60232</xdr:colOff>
      <xdr:row>13</xdr:row>
      <xdr:rowOff>85444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5604BBC-9733-E3E2-2217-B69442A787CD}"/>
            </a:ext>
          </a:extLst>
        </xdr:cNvPr>
        <xdr:cNvSpPr txBox="1"/>
      </xdr:nvSpPr>
      <xdr:spPr>
        <a:xfrm>
          <a:off x="29416842" y="2116509"/>
          <a:ext cx="4933390" cy="445435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latin typeface="3ds Condensed" panose="02000503020000020004" pitchFamily="2" charset="0"/>
            </a:rPr>
            <a:t>AI Recommended Action (Highest Risk)</a:t>
          </a:r>
        </a:p>
      </xdr:txBody>
    </xdr:sp>
    <xdr:clientData/>
  </xdr:twoCellAnchor>
  <xdr:oneCellAnchor>
    <xdr:from>
      <xdr:col>51</xdr:col>
      <xdr:colOff>154080</xdr:colOff>
      <xdr:row>15</xdr:row>
      <xdr:rowOff>85444</xdr:rowOff>
    </xdr:from>
    <xdr:ext cx="873509" cy="616707"/>
    <xdr:sp macro="" textlink="Output!B2">
      <xdr:nvSpPr>
        <xdr:cNvPr id="10" name="TextBox 9">
          <a:extLst>
            <a:ext uri="{FF2B5EF4-FFF2-40B4-BE49-F238E27FC236}">
              <a16:creationId xmlns:a16="http://schemas.microsoft.com/office/drawing/2014/main" id="{F21067C8-B7C8-9340-B301-2A61819B0CC8}"/>
            </a:ext>
          </a:extLst>
        </xdr:cNvPr>
        <xdr:cNvSpPr txBox="1"/>
      </xdr:nvSpPr>
      <xdr:spPr>
        <a:xfrm>
          <a:off x="29300580" y="2942944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152400</xdr:colOff>
      <xdr:row>19</xdr:row>
      <xdr:rowOff>13726</xdr:rowOff>
    </xdr:from>
    <xdr:ext cx="4946277" cy="1219373"/>
    <xdr:sp macro="" textlink="Output!G2">
      <xdr:nvSpPr>
        <xdr:cNvPr id="15" name="TextBox 14">
          <a:extLst>
            <a:ext uri="{FF2B5EF4-FFF2-40B4-BE49-F238E27FC236}">
              <a16:creationId xmlns:a16="http://schemas.microsoft.com/office/drawing/2014/main" id="{E22F80B0-2971-163D-3A2C-DA0861ADF1A1}"/>
            </a:ext>
          </a:extLst>
        </xdr:cNvPr>
        <xdr:cNvSpPr txBox="1"/>
      </xdr:nvSpPr>
      <xdr:spPr>
        <a:xfrm>
          <a:off x="29298900" y="3633226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5D8CA1D-922D-408A-9F94-EFC575500E74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Increase ATM cash replenishment frequency. Schedule preventive maintenance.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264459</xdr:colOff>
      <xdr:row>26</xdr:row>
      <xdr:rowOff>132785</xdr:rowOff>
    </xdr:from>
    <xdr:ext cx="812658" cy="616707"/>
    <xdr:sp macro="" textlink="Output!B3">
      <xdr:nvSpPr>
        <xdr:cNvPr id="22" name="TextBox 21">
          <a:extLst>
            <a:ext uri="{FF2B5EF4-FFF2-40B4-BE49-F238E27FC236}">
              <a16:creationId xmlns:a16="http://schemas.microsoft.com/office/drawing/2014/main" id="{CB4E03F9-E630-55C7-3857-0ECF422FAD01}"/>
            </a:ext>
          </a:extLst>
        </xdr:cNvPr>
        <xdr:cNvSpPr txBox="1"/>
      </xdr:nvSpPr>
      <xdr:spPr>
        <a:xfrm>
          <a:off x="29410959" y="5085785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258576</xdr:colOff>
      <xdr:row>30</xdr:row>
      <xdr:rowOff>47054</xdr:rowOff>
    </xdr:from>
    <xdr:ext cx="4946277" cy="1219373"/>
    <xdr:sp macro="" textlink="Output!G3">
      <xdr:nvSpPr>
        <xdr:cNvPr id="35" name="TextBox 34">
          <a:extLst>
            <a:ext uri="{FF2B5EF4-FFF2-40B4-BE49-F238E27FC236}">
              <a16:creationId xmlns:a16="http://schemas.microsoft.com/office/drawing/2014/main" id="{8F5B64EC-9D95-ED2E-9833-6DFB1125237A}"/>
            </a:ext>
          </a:extLst>
        </xdr:cNvPr>
        <xdr:cNvSpPr txBox="1"/>
      </xdr:nvSpPr>
      <xdr:spPr>
        <a:xfrm>
          <a:off x="29405076" y="5762054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10FCFC4-9048-4915-9AEA-F5DF7D883657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304799</xdr:colOff>
      <xdr:row>37</xdr:row>
      <xdr:rowOff>168048</xdr:rowOff>
    </xdr:from>
    <xdr:ext cx="2180149" cy="616707"/>
    <xdr:sp macro="" textlink="Output!B4">
      <xdr:nvSpPr>
        <xdr:cNvPr id="36" name="TextBox 35">
          <a:extLst>
            <a:ext uri="{FF2B5EF4-FFF2-40B4-BE49-F238E27FC236}">
              <a16:creationId xmlns:a16="http://schemas.microsoft.com/office/drawing/2014/main" id="{9BE89313-43E1-9934-2740-C4D2AC2913B9}"/>
            </a:ext>
          </a:extLst>
        </xdr:cNvPr>
        <xdr:cNvSpPr txBox="1"/>
      </xdr:nvSpPr>
      <xdr:spPr>
        <a:xfrm>
          <a:off x="29451299" y="7216548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265018</xdr:colOff>
      <xdr:row>41</xdr:row>
      <xdr:rowOff>10722</xdr:rowOff>
    </xdr:from>
    <xdr:ext cx="4966172" cy="1219373"/>
    <xdr:sp macro="" textlink="Output!G4">
      <xdr:nvSpPr>
        <xdr:cNvPr id="37" name="TextBox 36">
          <a:extLst>
            <a:ext uri="{FF2B5EF4-FFF2-40B4-BE49-F238E27FC236}">
              <a16:creationId xmlns:a16="http://schemas.microsoft.com/office/drawing/2014/main" id="{EAD7493F-6971-6266-79B7-B1B26CB668BD}"/>
            </a:ext>
          </a:extLst>
        </xdr:cNvPr>
        <xdr:cNvSpPr txBox="1"/>
      </xdr:nvSpPr>
      <xdr:spPr>
        <a:xfrm>
          <a:off x="29411518" y="7821222"/>
          <a:ext cx="4966172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8E63F75-B191-410E-B9CF-9FC776AED36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241484</xdr:colOff>
      <xdr:row>48</xdr:row>
      <xdr:rowOff>177043</xdr:rowOff>
    </xdr:from>
    <xdr:ext cx="2649187" cy="616707"/>
    <xdr:sp macro="" textlink="Output!B5">
      <xdr:nvSpPr>
        <xdr:cNvPr id="38" name="TextBox 37">
          <a:extLst>
            <a:ext uri="{FF2B5EF4-FFF2-40B4-BE49-F238E27FC236}">
              <a16:creationId xmlns:a16="http://schemas.microsoft.com/office/drawing/2014/main" id="{A5FF90DE-285B-125F-BD31-B2C9C8B470F5}"/>
            </a:ext>
          </a:extLst>
        </xdr:cNvPr>
        <xdr:cNvSpPr txBox="1"/>
      </xdr:nvSpPr>
      <xdr:spPr>
        <a:xfrm>
          <a:off x="29387984" y="9321043"/>
          <a:ext cx="264918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244753</xdr:colOff>
      <xdr:row>52</xdr:row>
      <xdr:rowOff>126337</xdr:rowOff>
    </xdr:from>
    <xdr:ext cx="4946277" cy="1219373"/>
    <xdr:sp macro="" textlink="Output!G5">
      <xdr:nvSpPr>
        <xdr:cNvPr id="39" name="TextBox 38">
          <a:extLst>
            <a:ext uri="{FF2B5EF4-FFF2-40B4-BE49-F238E27FC236}">
              <a16:creationId xmlns:a16="http://schemas.microsoft.com/office/drawing/2014/main" id="{AA54D801-2BF2-0E3F-9A65-2EDB8BE12E1A}"/>
            </a:ext>
          </a:extLst>
        </xdr:cNvPr>
        <xdr:cNvSpPr txBox="1"/>
      </xdr:nvSpPr>
      <xdr:spPr>
        <a:xfrm>
          <a:off x="29391253" y="10032337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2ACE1C8-6B0A-49EF-891C-9FA011980CC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online banking user experience. Address login and navigation issues.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407892</xdr:colOff>
      <xdr:row>61</xdr:row>
      <xdr:rowOff>22682</xdr:rowOff>
    </xdr:from>
    <xdr:ext cx="1289777" cy="616707"/>
    <xdr:sp macro="" textlink="Output!B6">
      <xdr:nvSpPr>
        <xdr:cNvPr id="40" name="TextBox 39">
          <a:extLst>
            <a:ext uri="{FF2B5EF4-FFF2-40B4-BE49-F238E27FC236}">
              <a16:creationId xmlns:a16="http://schemas.microsoft.com/office/drawing/2014/main" id="{A512EBB2-EA99-1E99-2674-2048F1934256}"/>
            </a:ext>
          </a:extLst>
        </xdr:cNvPr>
        <xdr:cNvSpPr txBox="1"/>
      </xdr:nvSpPr>
      <xdr:spPr>
        <a:xfrm>
          <a:off x="29554392" y="11643182"/>
          <a:ext cx="128977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381000</xdr:colOff>
      <xdr:row>64</xdr:row>
      <xdr:rowOff>67972</xdr:rowOff>
    </xdr:from>
    <xdr:ext cx="4946277" cy="843693"/>
    <xdr:sp macro="" textlink="Output!G6">
      <xdr:nvSpPr>
        <xdr:cNvPr id="41" name="TextBox 40">
          <a:extLst>
            <a:ext uri="{FF2B5EF4-FFF2-40B4-BE49-F238E27FC236}">
              <a16:creationId xmlns:a16="http://schemas.microsoft.com/office/drawing/2014/main" id="{BCAC5CD8-A6FE-376D-4C19-E1DD8FDE7E17}"/>
            </a:ext>
          </a:extLst>
        </xdr:cNvPr>
        <xdr:cNvSpPr txBox="1"/>
      </xdr:nvSpPr>
      <xdr:spPr>
        <a:xfrm>
          <a:off x="29527500" y="12259972"/>
          <a:ext cx="4946277" cy="843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23DE0CF-C0E6-440C-9D1F-3969FAE18E1A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31</xdr:col>
      <xdr:colOff>295859</xdr:colOff>
      <xdr:row>49</xdr:row>
      <xdr:rowOff>111856</xdr:rowOff>
    </xdr:from>
    <xdr:ext cx="873509" cy="616707"/>
    <xdr:sp macro="" textlink="Output!B2">
      <xdr:nvSpPr>
        <xdr:cNvPr id="42" name="TextBox 41">
          <a:extLst>
            <a:ext uri="{FF2B5EF4-FFF2-40B4-BE49-F238E27FC236}">
              <a16:creationId xmlns:a16="http://schemas.microsoft.com/office/drawing/2014/main" id="{964733A3-BF05-98BC-5538-A56CA1D64398}"/>
            </a:ext>
          </a:extLst>
        </xdr:cNvPr>
        <xdr:cNvSpPr txBox="1"/>
      </xdr:nvSpPr>
      <xdr:spPr>
        <a:xfrm>
          <a:off x="18466628" y="9685702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276132</xdr:colOff>
      <xdr:row>53</xdr:row>
      <xdr:rowOff>21322</xdr:rowOff>
    </xdr:from>
    <xdr:ext cx="812658" cy="616707"/>
    <xdr:sp macro="" textlink="Output!B3">
      <xdr:nvSpPr>
        <xdr:cNvPr id="43" name="TextBox 42">
          <a:extLst>
            <a:ext uri="{FF2B5EF4-FFF2-40B4-BE49-F238E27FC236}">
              <a16:creationId xmlns:a16="http://schemas.microsoft.com/office/drawing/2014/main" id="{9029816B-7FC8-3CBC-5C67-61926A64B091}"/>
            </a:ext>
          </a:extLst>
        </xdr:cNvPr>
        <xdr:cNvSpPr txBox="1"/>
      </xdr:nvSpPr>
      <xdr:spPr>
        <a:xfrm>
          <a:off x="17992632" y="10117822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252355</xdr:colOff>
      <xdr:row>56</xdr:row>
      <xdr:rowOff>114312</xdr:rowOff>
    </xdr:from>
    <xdr:ext cx="2180149" cy="616707"/>
    <xdr:sp macro="" textlink="Output!B4">
      <xdr:nvSpPr>
        <xdr:cNvPr id="44" name="TextBox 43">
          <a:extLst>
            <a:ext uri="{FF2B5EF4-FFF2-40B4-BE49-F238E27FC236}">
              <a16:creationId xmlns:a16="http://schemas.microsoft.com/office/drawing/2014/main" id="{9A07CFD6-75FA-0FF7-AEED-2462562EA883}"/>
            </a:ext>
          </a:extLst>
        </xdr:cNvPr>
        <xdr:cNvSpPr txBox="1"/>
      </xdr:nvSpPr>
      <xdr:spPr>
        <a:xfrm>
          <a:off x="17968855" y="10782312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262267</xdr:colOff>
      <xdr:row>60</xdr:row>
      <xdr:rowOff>17380</xdr:rowOff>
    </xdr:from>
    <xdr:ext cx="2649187" cy="616707"/>
    <xdr:sp macro="" textlink="Output!B5">
      <xdr:nvSpPr>
        <xdr:cNvPr id="45" name="TextBox 44">
          <a:extLst>
            <a:ext uri="{FF2B5EF4-FFF2-40B4-BE49-F238E27FC236}">
              <a16:creationId xmlns:a16="http://schemas.microsoft.com/office/drawing/2014/main" id="{74A92F31-BBCC-19EF-847B-3E905DA426E3}"/>
            </a:ext>
          </a:extLst>
        </xdr:cNvPr>
        <xdr:cNvSpPr txBox="1"/>
      </xdr:nvSpPr>
      <xdr:spPr>
        <a:xfrm>
          <a:off x="17978767" y="11447380"/>
          <a:ext cx="264918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295752</xdr:colOff>
      <xdr:row>63</xdr:row>
      <xdr:rowOff>92005</xdr:rowOff>
    </xdr:from>
    <xdr:ext cx="1289777" cy="616707"/>
    <xdr:sp macro="" textlink="Output!B6">
      <xdr:nvSpPr>
        <xdr:cNvPr id="46" name="TextBox 45">
          <a:extLst>
            <a:ext uri="{FF2B5EF4-FFF2-40B4-BE49-F238E27FC236}">
              <a16:creationId xmlns:a16="http://schemas.microsoft.com/office/drawing/2014/main" id="{9B3752EC-27F4-90DB-BC36-2DD71F0CF74E}"/>
            </a:ext>
          </a:extLst>
        </xdr:cNvPr>
        <xdr:cNvSpPr txBox="1"/>
      </xdr:nvSpPr>
      <xdr:spPr>
        <a:xfrm>
          <a:off x="18012252" y="12093505"/>
          <a:ext cx="128977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33</xdr:col>
      <xdr:colOff>92994</xdr:colOff>
      <xdr:row>50</xdr:row>
      <xdr:rowOff>73192</xdr:rowOff>
    </xdr:from>
    <xdr:ext cx="4946277" cy="468013"/>
    <xdr:sp macro="" textlink="Output!F2">
      <xdr:nvSpPr>
        <xdr:cNvPr id="47" name="TextBox 46">
          <a:extLst>
            <a:ext uri="{FF2B5EF4-FFF2-40B4-BE49-F238E27FC236}">
              <a16:creationId xmlns:a16="http://schemas.microsoft.com/office/drawing/2014/main" id="{3CE6B980-9243-E614-1FED-E87F25831D7C}"/>
            </a:ext>
          </a:extLst>
        </xdr:cNvPr>
        <xdr:cNvSpPr txBox="1"/>
      </xdr:nvSpPr>
      <xdr:spPr>
        <a:xfrm>
          <a:off x="18952494" y="9598192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590813F-EF5C-4831-9060-A55BE0A124CC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delay, error, failed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33</xdr:col>
      <xdr:colOff>106810</xdr:colOff>
      <xdr:row>53</xdr:row>
      <xdr:rowOff>114197</xdr:rowOff>
    </xdr:from>
    <xdr:ext cx="4946277" cy="468013"/>
    <xdr:sp macro="" textlink="Output!F3">
      <xdr:nvSpPr>
        <xdr:cNvPr id="48" name="TextBox 47">
          <a:extLst>
            <a:ext uri="{FF2B5EF4-FFF2-40B4-BE49-F238E27FC236}">
              <a16:creationId xmlns:a16="http://schemas.microsoft.com/office/drawing/2014/main" id="{B88EF9D9-3284-A35B-9161-4825F8D55567}"/>
            </a:ext>
          </a:extLst>
        </xdr:cNvPr>
        <xdr:cNvSpPr txBox="1"/>
      </xdr:nvSpPr>
      <xdr:spPr>
        <a:xfrm>
          <a:off x="18966310" y="10210697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546860FD-D2DB-4397-8FD8-65839BE0438F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crash, issue, login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35</xdr:col>
      <xdr:colOff>118220</xdr:colOff>
      <xdr:row>57</xdr:row>
      <xdr:rowOff>47626</xdr:rowOff>
    </xdr:from>
    <xdr:ext cx="3691780" cy="468013"/>
    <xdr:sp macro="" textlink="Output!F4">
      <xdr:nvSpPr>
        <xdr:cNvPr id="49" name="TextBox 48">
          <a:extLst>
            <a:ext uri="{FF2B5EF4-FFF2-40B4-BE49-F238E27FC236}">
              <a16:creationId xmlns:a16="http://schemas.microsoft.com/office/drawing/2014/main" id="{67CF1208-7AC2-B28F-7E51-08CE70CAAAC8}"/>
            </a:ext>
          </a:extLst>
        </xdr:cNvPr>
        <xdr:cNvSpPr txBox="1"/>
      </xdr:nvSpPr>
      <xdr:spPr>
        <a:xfrm>
          <a:off x="20120720" y="10906126"/>
          <a:ext cx="369178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3FE4383-9BDB-48DC-BF2A-4C66AEA8ECC0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No specific issues identified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35</xdr:col>
      <xdr:colOff>558768</xdr:colOff>
      <xdr:row>61</xdr:row>
      <xdr:rowOff>1</xdr:rowOff>
    </xdr:from>
    <xdr:ext cx="3608419" cy="476249"/>
    <xdr:sp macro="" textlink="Output!F5">
      <xdr:nvSpPr>
        <xdr:cNvPr id="50" name="TextBox 49">
          <a:extLst>
            <a:ext uri="{FF2B5EF4-FFF2-40B4-BE49-F238E27FC236}">
              <a16:creationId xmlns:a16="http://schemas.microsoft.com/office/drawing/2014/main" id="{D421B572-8635-9114-5A7C-5BD6C1F141AE}"/>
            </a:ext>
          </a:extLst>
        </xdr:cNvPr>
        <xdr:cNvSpPr txBox="1"/>
      </xdr:nvSpPr>
      <xdr:spPr>
        <a:xfrm>
          <a:off x="20561268" y="11620501"/>
          <a:ext cx="3608419" cy="4762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D3E3F07-A1E2-4D49-B283-F176B0F09CC1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cannot, delay, error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33</xdr:col>
      <xdr:colOff>500151</xdr:colOff>
      <xdr:row>64</xdr:row>
      <xdr:rowOff>27954</xdr:rowOff>
    </xdr:from>
    <xdr:ext cx="4946277" cy="468013"/>
    <xdr:sp macro="" textlink="Output!F6">
      <xdr:nvSpPr>
        <xdr:cNvPr id="51" name="TextBox 50">
          <a:extLst>
            <a:ext uri="{FF2B5EF4-FFF2-40B4-BE49-F238E27FC236}">
              <a16:creationId xmlns:a16="http://schemas.microsoft.com/office/drawing/2014/main" id="{05C83A3E-143A-6866-9C98-533CBCD1E542}"/>
            </a:ext>
          </a:extLst>
        </xdr:cNvPr>
        <xdr:cNvSpPr txBox="1"/>
      </xdr:nvSpPr>
      <xdr:spPr>
        <a:xfrm>
          <a:off x="19359651" y="12219954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5FEEF308-2751-44A9-AE86-7243B2B8C201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rude, slow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twoCellAnchor>
    <xdr:from>
      <xdr:col>45</xdr:col>
      <xdr:colOff>500062</xdr:colOff>
      <xdr:row>6</xdr:row>
      <xdr:rowOff>71437</xdr:rowOff>
    </xdr:from>
    <xdr:to>
      <xdr:col>50</xdr:col>
      <xdr:colOff>47624</xdr:colOff>
      <xdr:row>11</xdr:row>
      <xdr:rowOff>23813</xdr:rowOff>
    </xdr:to>
    <xdr:sp macro="[0]!RunPredictionModel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46FBCE5B-E4FA-2B97-BD59-946752ECB627}"/>
            </a:ext>
          </a:extLst>
        </xdr:cNvPr>
        <xdr:cNvSpPr/>
      </xdr:nvSpPr>
      <xdr:spPr>
        <a:xfrm>
          <a:off x="26217562" y="1214437"/>
          <a:ext cx="2405062" cy="904876"/>
        </a:xfrm>
        <a:prstGeom prst="roundRect">
          <a:avLst>
            <a:gd name="adj" fmla="val 26059"/>
          </a:avLst>
        </a:prstGeom>
        <a:solidFill>
          <a:schemeClr val="bg1"/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31800" sx="124000" sy="124000" algn="ctr" rotWithShape="0">
            <a:schemeClr val="tx1">
              <a:lumMod val="95000"/>
              <a:lumOff val="5000"/>
              <a:alpha val="21000"/>
            </a:scheme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47</xdr:col>
      <xdr:colOff>71437</xdr:colOff>
      <xdr:row>7</xdr:row>
      <xdr:rowOff>23812</xdr:rowOff>
    </xdr:from>
    <xdr:ext cx="822085" cy="611258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75A26D6C-C05D-1CED-7002-518679633DEB}"/>
            </a:ext>
          </a:extLst>
        </xdr:cNvPr>
        <xdr:cNvSpPr txBox="1"/>
      </xdr:nvSpPr>
      <xdr:spPr>
        <a:xfrm>
          <a:off x="26931937" y="1357312"/>
          <a:ext cx="822085" cy="6112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>
              <a:latin typeface="3ds Condensed" panose="02000503020000020004" pitchFamily="2" charset="0"/>
            </a:rPr>
            <a:t>Run</a:t>
          </a:r>
        </a:p>
      </xdr:txBody>
    </xdr:sp>
    <xdr:clientData/>
  </xdr:oneCellAnchor>
  <xdr:twoCellAnchor>
    <xdr:from>
      <xdr:col>1</xdr:col>
      <xdr:colOff>46898</xdr:colOff>
      <xdr:row>14</xdr:row>
      <xdr:rowOff>103818</xdr:rowOff>
    </xdr:from>
    <xdr:to>
      <xdr:col>17</xdr:col>
      <xdr:colOff>159334</xdr:colOff>
      <xdr:row>41</xdr:row>
      <xdr:rowOff>104890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61681B-4DBA-4ADC-BCB2-BC27ECE85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238125</xdr:colOff>
      <xdr:row>12</xdr:row>
      <xdr:rowOff>139390</xdr:rowOff>
    </xdr:from>
    <xdr:to>
      <xdr:col>31</xdr:col>
      <xdr:colOff>203014</xdr:colOff>
      <xdr:row>41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091EF7-3226-49C5-A79C-4F9382EC49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80964</xdr:colOff>
      <xdr:row>44</xdr:row>
      <xdr:rowOff>5072</xdr:rowOff>
    </xdr:from>
    <xdr:to>
      <xdr:col>50</xdr:col>
      <xdr:colOff>166687</xdr:colOff>
      <xdr:row>72</xdr:row>
      <xdr:rowOff>5252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B1F30D7-29BD-7BD6-B5FE-1CF609B544DE}"/>
            </a:ext>
          </a:extLst>
        </xdr:cNvPr>
        <xdr:cNvSpPr/>
      </xdr:nvSpPr>
      <xdr:spPr>
        <a:xfrm>
          <a:off x="24083964" y="8387072"/>
          <a:ext cx="4657723" cy="5334180"/>
        </a:xfrm>
        <a:prstGeom prst="roundRect">
          <a:avLst>
            <a:gd name="adj" fmla="val 1002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331154</xdr:colOff>
      <xdr:row>45</xdr:row>
      <xdr:rowOff>102556</xdr:rowOff>
    </xdr:from>
    <xdr:to>
      <xdr:col>48</xdr:col>
      <xdr:colOff>119064</xdr:colOff>
      <xdr:row>48</xdr:row>
      <xdr:rowOff>47625</xdr:rowOff>
    </xdr:to>
    <xdr:sp macro="" textlink="">
      <xdr:nvSpPr>
        <xdr:cNvPr id="6" name="Text Box 1">
          <a:extLst>
            <a:ext uri="{FF2B5EF4-FFF2-40B4-BE49-F238E27FC236}">
              <a16:creationId xmlns:a16="http://schemas.microsoft.com/office/drawing/2014/main" id="{93A77703-3D84-DA65-BA7B-9D0B024A555E}"/>
            </a:ext>
          </a:extLst>
        </xdr:cNvPr>
        <xdr:cNvSpPr txBox="1">
          <a:spLocks noChangeArrowheads="1"/>
        </xdr:cNvSpPr>
      </xdr:nvSpPr>
      <xdr:spPr bwMode="auto">
        <a:xfrm>
          <a:off x="25477154" y="8675056"/>
          <a:ext cx="2073910" cy="5165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 i="0" u="none" strike="noStrike" baseline="0">
              <a:solidFill>
                <a:schemeClr val="tx1"/>
              </a:solidFill>
              <a:latin typeface="3ds Condensed" panose="02000503020000020004" pitchFamily="2" charset="0"/>
              <a:ea typeface="Calibri"/>
              <a:cs typeface="Calibri"/>
            </a:rPr>
            <a:t>Risk Level</a:t>
          </a:r>
        </a:p>
      </xdr:txBody>
    </xdr:sp>
    <xdr:clientData/>
  </xdr:twoCellAnchor>
  <xdr:oneCellAnchor>
    <xdr:from>
      <xdr:col>42</xdr:col>
      <xdr:colOff>399411</xdr:colOff>
      <xdr:row>48</xdr:row>
      <xdr:rowOff>176941</xdr:rowOff>
    </xdr:from>
    <xdr:ext cx="873509" cy="616707"/>
    <xdr:sp macro="" textlink="Output!B2">
      <xdr:nvSpPr>
        <xdr:cNvPr id="7" name="TextBox 6">
          <a:extLst>
            <a:ext uri="{FF2B5EF4-FFF2-40B4-BE49-F238E27FC236}">
              <a16:creationId xmlns:a16="http://schemas.microsoft.com/office/drawing/2014/main" id="{4F5E1FC3-F609-E133-7A3E-DB2F87EA3B67}"/>
            </a:ext>
          </a:extLst>
        </xdr:cNvPr>
        <xdr:cNvSpPr txBox="1"/>
      </xdr:nvSpPr>
      <xdr:spPr>
        <a:xfrm>
          <a:off x="24402411" y="9320941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404719</xdr:colOff>
      <xdr:row>52</xdr:row>
      <xdr:rowOff>135255</xdr:rowOff>
    </xdr:from>
    <xdr:ext cx="812658" cy="616707"/>
    <xdr:sp macro="" textlink="Output!B3">
      <xdr:nvSpPr>
        <xdr:cNvPr id="8" name="TextBox 7">
          <a:extLst>
            <a:ext uri="{FF2B5EF4-FFF2-40B4-BE49-F238E27FC236}">
              <a16:creationId xmlns:a16="http://schemas.microsoft.com/office/drawing/2014/main" id="{60B1D1B6-3D5F-533F-3AA8-3ABA28CE0D14}"/>
            </a:ext>
          </a:extLst>
        </xdr:cNvPr>
        <xdr:cNvSpPr txBox="1"/>
      </xdr:nvSpPr>
      <xdr:spPr>
        <a:xfrm>
          <a:off x="24407719" y="10041255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331484</xdr:colOff>
      <xdr:row>56</xdr:row>
      <xdr:rowOff>74377</xdr:rowOff>
    </xdr:from>
    <xdr:ext cx="2180149" cy="616707"/>
    <xdr:sp macro="" textlink="Output!B4">
      <xdr:nvSpPr>
        <xdr:cNvPr id="16" name="TextBox 15">
          <a:extLst>
            <a:ext uri="{FF2B5EF4-FFF2-40B4-BE49-F238E27FC236}">
              <a16:creationId xmlns:a16="http://schemas.microsoft.com/office/drawing/2014/main" id="{0E75F411-1AC7-482B-1E9A-AB3B59E98F1F}"/>
            </a:ext>
          </a:extLst>
        </xdr:cNvPr>
        <xdr:cNvSpPr txBox="1"/>
      </xdr:nvSpPr>
      <xdr:spPr>
        <a:xfrm>
          <a:off x="24334484" y="10742377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291940</xdr:colOff>
      <xdr:row>59</xdr:row>
      <xdr:rowOff>155736</xdr:rowOff>
    </xdr:from>
    <xdr:ext cx="2649187" cy="616707"/>
    <xdr:sp macro="" textlink="Output!B5">
      <xdr:nvSpPr>
        <xdr:cNvPr id="17" name="TextBox 16">
          <a:extLst>
            <a:ext uri="{FF2B5EF4-FFF2-40B4-BE49-F238E27FC236}">
              <a16:creationId xmlns:a16="http://schemas.microsoft.com/office/drawing/2014/main" id="{6790A351-4178-7AB5-B553-157CC2897545}"/>
            </a:ext>
          </a:extLst>
        </xdr:cNvPr>
        <xdr:cNvSpPr txBox="1"/>
      </xdr:nvSpPr>
      <xdr:spPr>
        <a:xfrm>
          <a:off x="24294940" y="11395236"/>
          <a:ext cx="264918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398694</xdr:colOff>
      <xdr:row>63</xdr:row>
      <xdr:rowOff>157091</xdr:rowOff>
    </xdr:from>
    <xdr:ext cx="1289777" cy="616707"/>
    <xdr:sp macro="" textlink="Output!B6">
      <xdr:nvSpPr>
        <xdr:cNvPr id="18" name="TextBox 17">
          <a:extLst>
            <a:ext uri="{FF2B5EF4-FFF2-40B4-BE49-F238E27FC236}">
              <a16:creationId xmlns:a16="http://schemas.microsoft.com/office/drawing/2014/main" id="{170B836D-FEBB-3CEE-09C6-0243EE3CD5A0}"/>
            </a:ext>
          </a:extLst>
        </xdr:cNvPr>
        <xdr:cNvSpPr txBox="1"/>
      </xdr:nvSpPr>
      <xdr:spPr>
        <a:xfrm>
          <a:off x="24401694" y="12158591"/>
          <a:ext cx="128977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44</xdr:col>
      <xdr:colOff>98856</xdr:colOff>
      <xdr:row>49</xdr:row>
      <xdr:rowOff>113855</xdr:rowOff>
    </xdr:from>
    <xdr:ext cx="4946277" cy="468013"/>
    <xdr:sp macro="" textlink="Output!E2">
      <xdr:nvSpPr>
        <xdr:cNvPr id="21" name="TextBox 20">
          <a:extLst>
            <a:ext uri="{FF2B5EF4-FFF2-40B4-BE49-F238E27FC236}">
              <a16:creationId xmlns:a16="http://schemas.microsoft.com/office/drawing/2014/main" id="{518843DD-A2F0-5F1F-7CD5-5DEE1FC8EDEC}"/>
            </a:ext>
          </a:extLst>
        </xdr:cNvPr>
        <xdr:cNvSpPr txBox="1"/>
      </xdr:nvSpPr>
      <xdr:spPr>
        <a:xfrm>
          <a:off x="25244856" y="9448355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CADB84F-060B-4B28-A2A8-3C8D4829405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44</xdr:col>
      <xdr:colOff>112673</xdr:colOff>
      <xdr:row>53</xdr:row>
      <xdr:rowOff>81591</xdr:rowOff>
    </xdr:from>
    <xdr:ext cx="4946277" cy="468013"/>
    <xdr:sp macro="" textlink="Output!E3">
      <xdr:nvSpPr>
        <xdr:cNvPr id="29" name="TextBox 28">
          <a:extLst>
            <a:ext uri="{FF2B5EF4-FFF2-40B4-BE49-F238E27FC236}">
              <a16:creationId xmlns:a16="http://schemas.microsoft.com/office/drawing/2014/main" id="{927D1BDD-C1C7-DDDC-8628-917F09B68D42}"/>
            </a:ext>
          </a:extLst>
        </xdr:cNvPr>
        <xdr:cNvSpPr txBox="1"/>
      </xdr:nvSpPr>
      <xdr:spPr>
        <a:xfrm>
          <a:off x="25258673" y="10178091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EA3EEAF-8847-457B-BDDC-A53B9F777865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46</xdr:col>
      <xdr:colOff>197350</xdr:colOff>
      <xdr:row>57</xdr:row>
      <xdr:rowOff>19906</xdr:rowOff>
    </xdr:from>
    <xdr:ext cx="3691780" cy="468013"/>
    <xdr:sp macro="" textlink="Output!E4">
      <xdr:nvSpPr>
        <xdr:cNvPr id="52" name="TextBox 51">
          <a:extLst>
            <a:ext uri="{FF2B5EF4-FFF2-40B4-BE49-F238E27FC236}">
              <a16:creationId xmlns:a16="http://schemas.microsoft.com/office/drawing/2014/main" id="{FFC82D9C-B7BE-88F9-DD2A-55653DE54B3C}"/>
            </a:ext>
          </a:extLst>
        </xdr:cNvPr>
        <xdr:cNvSpPr txBox="1"/>
      </xdr:nvSpPr>
      <xdr:spPr>
        <a:xfrm>
          <a:off x="26486350" y="10878406"/>
          <a:ext cx="369178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F68956C-D43A-42A2-BB25-925953FC23BE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46</xdr:col>
      <xdr:colOff>503572</xdr:colOff>
      <xdr:row>60</xdr:row>
      <xdr:rowOff>101722</xdr:rowOff>
    </xdr:from>
    <xdr:ext cx="1486909" cy="468013"/>
    <xdr:sp macro="" textlink="Output!E5">
      <xdr:nvSpPr>
        <xdr:cNvPr id="56" name="TextBox 55">
          <a:extLst>
            <a:ext uri="{FF2B5EF4-FFF2-40B4-BE49-F238E27FC236}">
              <a16:creationId xmlns:a16="http://schemas.microsoft.com/office/drawing/2014/main" id="{C94F27B6-677D-1C01-9AF3-E159AC785AE3}"/>
            </a:ext>
          </a:extLst>
        </xdr:cNvPr>
        <xdr:cNvSpPr txBox="1"/>
      </xdr:nvSpPr>
      <xdr:spPr>
        <a:xfrm>
          <a:off x="26792572" y="11531722"/>
          <a:ext cx="1486909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31D1ED0-3A1A-4CEC-91A8-6DFC72AB83F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44</xdr:col>
      <xdr:colOff>506014</xdr:colOff>
      <xdr:row>64</xdr:row>
      <xdr:rowOff>117462</xdr:rowOff>
    </xdr:from>
    <xdr:ext cx="1423410" cy="468013"/>
    <xdr:sp macro="" textlink="Output!E6">
      <xdr:nvSpPr>
        <xdr:cNvPr id="57" name="TextBox 56">
          <a:extLst>
            <a:ext uri="{FF2B5EF4-FFF2-40B4-BE49-F238E27FC236}">
              <a16:creationId xmlns:a16="http://schemas.microsoft.com/office/drawing/2014/main" id="{ABE60BB7-B9B2-3F07-9532-C80AAFB7D892}"/>
            </a:ext>
          </a:extLst>
        </xdr:cNvPr>
        <xdr:cNvSpPr txBox="1"/>
      </xdr:nvSpPr>
      <xdr:spPr>
        <a:xfrm>
          <a:off x="25652014" y="12309462"/>
          <a:ext cx="142341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6E237FE7-E211-45AF-94FA-F190B09F3AB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310183</xdr:colOff>
          <xdr:row>6</xdr:row>
          <xdr:rowOff>57151</xdr:rowOff>
        </xdr:from>
        <xdr:to>
          <xdr:col>45</xdr:col>
          <xdr:colOff>41412</xdr:colOff>
          <xdr:row>10</xdr:row>
          <xdr:rowOff>144946</xdr:rowOff>
        </xdr:to>
        <xdr:sp macro="" textlink="">
          <xdr:nvSpPr>
            <xdr:cNvPr id="1026" name="EvaluateBt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8E35F6C-8B9D-452A-97C8-0901637D2A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Evaluate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iodun Prosper" refreshedDate="46008.408159259256" createdVersion="8" refreshedVersion="8" minRefreshableVersion="3" recordCount="51" xr:uid="{000524EA-9CFA-430E-8606-1BB343CF1FD0}">
  <cacheSource type="worksheet">
    <worksheetSource ref="A1:G1048576" sheet="Feedback_Data"/>
  </cacheSource>
  <cacheFields count="7">
    <cacheField name="Date" numFmtId="14">
      <sharedItems containsNonDate="0" containsDate="1" containsString="0" containsBlank="1" minDate="2025-01-01T00:00:00" maxDate="2025-02-20T00:00:00"/>
    </cacheField>
    <cacheField name="Customer" numFmtId="0">
      <sharedItems containsBlank="1"/>
    </cacheField>
    <cacheField name="Feedback Type" numFmtId="0">
      <sharedItems containsBlank="1" count="6">
        <s v="Service"/>
        <s v="Online Banking"/>
        <s v="Loan Process"/>
        <s v="App"/>
        <s v="ATM"/>
        <m/>
      </sharedItems>
    </cacheField>
    <cacheField name="Rating (1–5)" numFmtId="0">
      <sharedItems containsString="0" containsBlank="1" containsNumber="1" containsInteger="1" minValue="1" maxValue="5"/>
    </cacheField>
    <cacheField name="Status" numFmtId="0">
      <sharedItems containsBlank="1"/>
    </cacheField>
    <cacheField name="Follow-Up" numFmtId="0">
      <sharedItems containsBlank="1"/>
    </cacheField>
    <cacheField name="Comment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d v="2025-01-01T00:00:00"/>
    <s v="Customer 1"/>
    <x v="0"/>
    <n v="5"/>
    <s v="Resolved"/>
    <s v="No"/>
    <s v="Great service"/>
  </r>
  <r>
    <d v="2025-01-02T00:00:00"/>
    <s v="Customer 2"/>
    <x v="1"/>
    <n v="4"/>
    <s v="Open"/>
    <s v="Yes"/>
    <s v="App crashes"/>
  </r>
  <r>
    <d v="2025-01-03T00:00:00"/>
    <s v="Customer 3"/>
    <x v="2"/>
    <n v="3"/>
    <s v="Resolved"/>
    <s v="No"/>
    <s v="Slow response"/>
  </r>
  <r>
    <d v="2025-01-04T00:00:00"/>
    <s v="Customer 4"/>
    <x v="3"/>
    <n v="2"/>
    <s v="Open"/>
    <s v="Yes"/>
    <s v="ATM issue"/>
  </r>
  <r>
    <d v="2025-01-05T00:00:00"/>
    <s v="Customer 5"/>
    <x v="4"/>
    <n v="1"/>
    <s v="Resolved"/>
    <s v="No"/>
    <s v="Helpful staff"/>
  </r>
  <r>
    <d v="2025-01-06T00:00:00"/>
    <s v="Customer 6"/>
    <x v="0"/>
    <n v="5"/>
    <s v="Resolved"/>
    <s v="No"/>
    <s v="Great service"/>
  </r>
  <r>
    <d v="2025-01-07T00:00:00"/>
    <s v="Customer 7"/>
    <x v="1"/>
    <n v="4"/>
    <s v="Open"/>
    <s v="Yes"/>
    <s v="App crashes"/>
  </r>
  <r>
    <d v="2025-01-08T00:00:00"/>
    <s v="Customer 8"/>
    <x v="2"/>
    <n v="3"/>
    <s v="Resolved"/>
    <s v="No"/>
    <s v="Slow response"/>
  </r>
  <r>
    <d v="2025-01-09T00:00:00"/>
    <s v="Customer 9"/>
    <x v="3"/>
    <n v="2"/>
    <s v="Open"/>
    <s v="Yes"/>
    <s v="ATM issue"/>
  </r>
  <r>
    <d v="2025-01-10T00:00:00"/>
    <s v="Customer 10"/>
    <x v="4"/>
    <n v="1"/>
    <s v="Resolved"/>
    <s v="No"/>
    <s v="Helpful staff"/>
  </r>
  <r>
    <d v="2025-01-11T00:00:00"/>
    <s v="Customer 11"/>
    <x v="0"/>
    <n v="5"/>
    <s v="Resolved"/>
    <s v="No"/>
    <s v="Great service"/>
  </r>
  <r>
    <d v="2025-01-12T00:00:00"/>
    <s v="Customer 12"/>
    <x v="1"/>
    <n v="4"/>
    <s v="Open"/>
    <s v="Yes"/>
    <s v="App crashes"/>
  </r>
  <r>
    <d v="2025-01-13T00:00:00"/>
    <s v="Customer 13"/>
    <x v="2"/>
    <n v="3"/>
    <s v="Resolved"/>
    <s v="No"/>
    <s v="Slow response"/>
  </r>
  <r>
    <d v="2025-01-14T00:00:00"/>
    <s v="Customer 14"/>
    <x v="3"/>
    <n v="2"/>
    <s v="Open"/>
    <s v="Yes"/>
    <s v="ATM issue"/>
  </r>
  <r>
    <d v="2025-01-15T00:00:00"/>
    <s v="Customer 15"/>
    <x v="4"/>
    <n v="1"/>
    <s v="Resolved"/>
    <s v="No"/>
    <s v="Helpful staff"/>
  </r>
  <r>
    <d v="2025-01-16T00:00:00"/>
    <s v="Customer 16"/>
    <x v="0"/>
    <n v="5"/>
    <s v="Resolved"/>
    <s v="No"/>
    <s v="Great service"/>
  </r>
  <r>
    <d v="2025-01-17T00:00:00"/>
    <s v="Customer 17"/>
    <x v="1"/>
    <n v="4"/>
    <s v="Open"/>
    <s v="Yes"/>
    <s v="App crashes"/>
  </r>
  <r>
    <d v="2025-01-18T00:00:00"/>
    <s v="Customer 18"/>
    <x v="2"/>
    <n v="3"/>
    <s v="Resolved"/>
    <s v="No"/>
    <s v="Slow response"/>
  </r>
  <r>
    <d v="2025-01-19T00:00:00"/>
    <s v="Customer 19"/>
    <x v="3"/>
    <n v="2"/>
    <s v="Open"/>
    <s v="Yes"/>
    <s v="ATM issue"/>
  </r>
  <r>
    <d v="2025-01-20T00:00:00"/>
    <s v="Customer 20"/>
    <x v="4"/>
    <n v="1"/>
    <s v="Resolved"/>
    <s v="No"/>
    <s v="Helpful staff"/>
  </r>
  <r>
    <d v="2025-01-21T00:00:00"/>
    <s v="Customer 21"/>
    <x v="0"/>
    <n v="5"/>
    <s v="Resolved"/>
    <s v="No"/>
    <s v="Great service"/>
  </r>
  <r>
    <d v="2025-01-22T00:00:00"/>
    <s v="Customer 22"/>
    <x v="1"/>
    <n v="4"/>
    <s v="Open"/>
    <s v="Yes"/>
    <s v="App crashes"/>
  </r>
  <r>
    <d v="2025-01-23T00:00:00"/>
    <s v="Customer 23"/>
    <x v="2"/>
    <n v="3"/>
    <s v="Resolved"/>
    <s v="No"/>
    <s v="Slow response"/>
  </r>
  <r>
    <d v="2025-01-24T00:00:00"/>
    <s v="Customer 24"/>
    <x v="3"/>
    <n v="2"/>
    <s v="Open"/>
    <s v="Yes"/>
    <s v="ATM issue"/>
  </r>
  <r>
    <d v="2025-01-25T00:00:00"/>
    <s v="Customer 25"/>
    <x v="4"/>
    <n v="1"/>
    <s v="Resolved"/>
    <s v="No"/>
    <s v="Helpful staff"/>
  </r>
  <r>
    <d v="2025-01-26T00:00:00"/>
    <s v="Customer 26"/>
    <x v="0"/>
    <n v="5"/>
    <s v="Resolved"/>
    <s v="No"/>
    <s v="Great service"/>
  </r>
  <r>
    <d v="2025-01-27T00:00:00"/>
    <s v="Customer 27"/>
    <x v="1"/>
    <n v="4"/>
    <s v="Open"/>
    <s v="Yes"/>
    <s v="App crashes"/>
  </r>
  <r>
    <d v="2025-01-28T00:00:00"/>
    <s v="Customer 28"/>
    <x v="2"/>
    <n v="3"/>
    <s v="Resolved"/>
    <s v="No"/>
    <s v="Slow response"/>
  </r>
  <r>
    <d v="2025-01-29T00:00:00"/>
    <s v="Customer 29"/>
    <x v="3"/>
    <n v="2"/>
    <s v="Open"/>
    <s v="Yes"/>
    <s v="ATM issue"/>
  </r>
  <r>
    <d v="2025-01-30T00:00:00"/>
    <s v="Customer 30"/>
    <x v="4"/>
    <n v="1"/>
    <s v="Resolved"/>
    <s v="No"/>
    <s v="Helpful staff"/>
  </r>
  <r>
    <d v="2025-01-31T00:00:00"/>
    <s v="Customer 31"/>
    <x v="0"/>
    <n v="5"/>
    <s v="Resolved"/>
    <s v="No"/>
    <s v="Great service"/>
  </r>
  <r>
    <d v="2025-02-01T00:00:00"/>
    <s v="Customer 32"/>
    <x v="1"/>
    <n v="4"/>
    <s v="Open"/>
    <s v="Yes"/>
    <s v="App crashes"/>
  </r>
  <r>
    <d v="2025-02-02T00:00:00"/>
    <s v="Customer 33"/>
    <x v="2"/>
    <n v="3"/>
    <s v="Resolved"/>
    <s v="No"/>
    <s v="Slow response"/>
  </r>
  <r>
    <d v="2025-02-03T00:00:00"/>
    <s v="Customer 34"/>
    <x v="3"/>
    <n v="2"/>
    <s v="Open"/>
    <s v="Yes"/>
    <s v="ATM issue"/>
  </r>
  <r>
    <d v="2025-02-04T00:00:00"/>
    <s v="Customer 35"/>
    <x v="4"/>
    <n v="1"/>
    <s v="Resolved"/>
    <s v="No"/>
    <s v="Helpful staff"/>
  </r>
  <r>
    <d v="2025-02-05T00:00:00"/>
    <s v="Customer 36"/>
    <x v="0"/>
    <n v="5"/>
    <s v="Resolved"/>
    <s v="No"/>
    <s v="Great service"/>
  </r>
  <r>
    <d v="2025-02-06T00:00:00"/>
    <s v="Customer 37"/>
    <x v="1"/>
    <n v="4"/>
    <s v="Open"/>
    <s v="Yes"/>
    <s v="App crashes"/>
  </r>
  <r>
    <d v="2025-02-07T00:00:00"/>
    <s v="Customer 38"/>
    <x v="2"/>
    <n v="3"/>
    <s v="Resolved"/>
    <s v="No"/>
    <s v="Slow response"/>
  </r>
  <r>
    <d v="2025-02-08T00:00:00"/>
    <s v="Customer 39"/>
    <x v="3"/>
    <n v="2"/>
    <s v="Open"/>
    <s v="Yes"/>
    <s v="ATM issue"/>
  </r>
  <r>
    <d v="2025-02-09T00:00:00"/>
    <s v="Customer 40"/>
    <x v="4"/>
    <n v="1"/>
    <s v="Resolved"/>
    <s v="No"/>
    <s v="Helpful staff"/>
  </r>
  <r>
    <d v="2025-02-10T00:00:00"/>
    <s v="Customer 41"/>
    <x v="0"/>
    <n v="5"/>
    <s v="Resolved"/>
    <s v="No"/>
    <s v="Great service"/>
  </r>
  <r>
    <d v="2025-02-11T00:00:00"/>
    <s v="Customer 42"/>
    <x v="1"/>
    <n v="4"/>
    <s v="Open"/>
    <s v="Yes"/>
    <s v="App crashes"/>
  </r>
  <r>
    <d v="2025-02-12T00:00:00"/>
    <s v="Customer 43"/>
    <x v="2"/>
    <n v="3"/>
    <s v="Resolved"/>
    <s v="No"/>
    <s v="Slow response"/>
  </r>
  <r>
    <d v="2025-02-13T00:00:00"/>
    <s v="Customer 44"/>
    <x v="3"/>
    <n v="2"/>
    <s v="Open"/>
    <s v="Yes"/>
    <s v="ATM issue"/>
  </r>
  <r>
    <d v="2025-02-14T00:00:00"/>
    <s v="Customer 45"/>
    <x v="4"/>
    <n v="1"/>
    <s v="Resolved"/>
    <s v="No"/>
    <s v="Helpful staff"/>
  </r>
  <r>
    <d v="2025-02-15T00:00:00"/>
    <s v="Customer 46"/>
    <x v="0"/>
    <n v="5"/>
    <s v="Resolved"/>
    <s v="No"/>
    <s v="Great service"/>
  </r>
  <r>
    <d v="2025-02-16T00:00:00"/>
    <s v="Customer 47"/>
    <x v="1"/>
    <n v="4"/>
    <s v="Open"/>
    <s v="Yes"/>
    <s v="App crashes"/>
  </r>
  <r>
    <d v="2025-02-17T00:00:00"/>
    <s v="Customer 48"/>
    <x v="2"/>
    <n v="3"/>
    <s v="Resolved"/>
    <s v="No"/>
    <s v="Slow response"/>
  </r>
  <r>
    <d v="2025-02-18T00:00:00"/>
    <s v="Customer 49"/>
    <x v="3"/>
    <n v="2"/>
    <s v="Open"/>
    <s v="Yes"/>
    <s v="ATM issue"/>
  </r>
  <r>
    <d v="2025-02-19T00:00:00"/>
    <s v="Customer 50"/>
    <x v="4"/>
    <n v="1"/>
    <s v="Resolved"/>
    <s v="No"/>
    <s v="Helpful staff"/>
  </r>
  <r>
    <m/>
    <m/>
    <x v="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6937FE-E5F2-4DC3-8BC1-736F6E3B478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0">
  <location ref="L1:M7" firstHeaderRow="1" firstDataRow="1" firstDataCol="1"/>
  <pivotFields count="7">
    <pivotField showAll="0"/>
    <pivotField showAll="0"/>
    <pivotField axis="axisRow" dataField="1" showAll="0">
      <items count="7">
        <item x="3"/>
        <item x="4"/>
        <item x="2"/>
        <item x="1"/>
        <item x="0"/>
        <item h="1" x="5"/>
        <item t="default"/>
      </items>
    </pivotField>
    <pivotField showAll="0"/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Feedback Type" fld="2" subtotal="count" baseField="0" baseItem="0"/>
  </dataFields>
  <chartFormats count="6"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9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9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9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9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EA9AE7-27E0-4EC2-875B-8DCAF3B63397}" name="Table2" displayName="Table2" ref="I1:J5">
  <autoFilter ref="I1:J5" xr:uid="{09EA9AE7-27E0-4EC2-875B-8DCAF3B63397}"/>
  <tableColumns count="2">
    <tableColumn id="1" xr3:uid="{0C1FF807-82EC-4ACF-9D8F-6F0C1B35B774}" name="Metric" totalsRowLabel="Total"/>
    <tableColumn id="2" xr3:uid="{D35EDD63-84DB-487A-A7F4-FD6649D12F35}" name="Output" totalsRowFunction="sum" dataDxfId="10">
      <calculatedColumnFormula>COUNTA(B:B)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eedback_Data" displayName="Feedback_Data" ref="A1:G1580" headerRowDxfId="9" dataDxfId="8" totalsRowDxfId="7">
  <autoFilter ref="A1:G1580" xr:uid="{00000000-0009-0000-0100-000001000000}"/>
  <tableColumns count="7">
    <tableColumn id="1" xr3:uid="{00000000-0010-0000-0000-000001000000}" name="Date" dataDxfId="6"/>
    <tableColumn id="2" xr3:uid="{00000000-0010-0000-0000-000002000000}" name="Customer" dataDxfId="5"/>
    <tableColumn id="3" xr3:uid="{00000000-0010-0000-0000-000003000000}" name="Feedback Type" dataDxfId="4"/>
    <tableColumn id="4" xr3:uid="{00000000-0010-0000-0000-000004000000}" name="Rating (1–5)" dataDxfId="3"/>
    <tableColumn id="5" xr3:uid="{00000000-0010-0000-0000-000005000000}" name="Status" dataDxfId="2"/>
    <tableColumn id="6" xr3:uid="{00000000-0010-0000-0000-000006000000}" name="Follow-Up" dataDxfId="1"/>
    <tableColumn id="7" xr3:uid="{00000000-0010-0000-0000-000007000000}" name="Comment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9C88-4ACE-446A-9851-E1B84C42EDAA}">
  <sheetPr codeName="Sheet1"/>
  <dimension ref="P48"/>
  <sheetViews>
    <sheetView showGridLines="0" showRowColHeaders="0" tabSelected="1" zoomScale="31" zoomScaleNormal="30" workbookViewId="0">
      <selection activeCell="BO18" sqref="BO18"/>
    </sheetView>
  </sheetViews>
  <sheetFormatPr defaultColWidth="8.7109375" defaultRowHeight="15" x14ac:dyDescent="0.25"/>
  <cols>
    <col min="1" max="16384" width="8.7109375" style="5"/>
  </cols>
  <sheetData>
    <row r="48" spans="16:16" x14ac:dyDescent="0.25">
      <c r="P48" s="5" t="s">
        <v>29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EvaluateBtn">
              <controlPr defaultSize="0" print="0" autoFill="0" autoPict="0" macro="RunEvaluation">
                <anchor moveWithCells="1" sizeWithCells="1">
                  <from>
                    <xdr:col>41</xdr:col>
                    <xdr:colOff>314325</xdr:colOff>
                    <xdr:row>6</xdr:row>
                    <xdr:rowOff>57150</xdr:rowOff>
                  </from>
                  <to>
                    <xdr:col>45</xdr:col>
                    <xdr:colOff>38100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54640-4295-4469-A699-391B94CAFA58}">
  <sheetPr codeName="Sheet2"/>
  <dimension ref="A1:I6"/>
  <sheetViews>
    <sheetView zoomScale="70" zoomScaleNormal="86" workbookViewId="0">
      <selection activeCell="G19" sqref="G19"/>
    </sheetView>
  </sheetViews>
  <sheetFormatPr defaultRowHeight="15" x14ac:dyDescent="0.25"/>
  <cols>
    <col min="1" max="1" width="1.85546875" bestFit="1" customWidth="1"/>
    <col min="2" max="2" width="13.42578125" bestFit="1" customWidth="1"/>
    <col min="3" max="3" width="13.42578125" style="10" bestFit="1" customWidth="1"/>
    <col min="4" max="4" width="14.5703125" bestFit="1" customWidth="1"/>
    <col min="5" max="5" width="8.85546875" bestFit="1" customWidth="1"/>
    <col min="6" max="6" width="24" bestFit="1" customWidth="1"/>
    <col min="7" max="7" width="74.85546875" bestFit="1" customWidth="1"/>
    <col min="8" max="8" width="15" style="12" bestFit="1" customWidth="1"/>
    <col min="9" max="9" width="14.5703125" bestFit="1" customWidth="1"/>
  </cols>
  <sheetData>
    <row r="1" spans="1:9" x14ac:dyDescent="0.25">
      <c r="A1" s="7"/>
      <c r="B1" s="7" t="s">
        <v>2</v>
      </c>
      <c r="C1" s="9" t="s">
        <v>16</v>
      </c>
      <c r="D1" s="7" t="s">
        <v>21</v>
      </c>
      <c r="E1" s="7" t="s">
        <v>22</v>
      </c>
      <c r="F1" s="7" t="s">
        <v>23</v>
      </c>
      <c r="G1" s="7" t="s">
        <v>24</v>
      </c>
      <c r="H1" s="11" t="s">
        <v>25</v>
      </c>
      <c r="I1" s="7" t="s">
        <v>26</v>
      </c>
    </row>
    <row r="2" spans="1:9" x14ac:dyDescent="0.25">
      <c r="A2">
        <v>0</v>
      </c>
      <c r="B2" t="s">
        <v>12</v>
      </c>
      <c r="D2">
        <v>0.72645945945945944</v>
      </c>
      <c r="E2" t="s">
        <v>27</v>
      </c>
      <c r="F2" t="s">
        <v>408</v>
      </c>
      <c r="G2" t="s">
        <v>34</v>
      </c>
      <c r="I2" s="6">
        <v>46068.830671296295</v>
      </c>
    </row>
    <row r="3" spans="1:9" x14ac:dyDescent="0.25">
      <c r="A3">
        <v>1</v>
      </c>
      <c r="B3" t="s">
        <v>11</v>
      </c>
      <c r="C3" s="10">
        <v>2.8269230769230771</v>
      </c>
      <c r="D3">
        <v>0.53674999999999995</v>
      </c>
      <c r="E3" t="s">
        <v>27</v>
      </c>
      <c r="F3" t="s">
        <v>409</v>
      </c>
      <c r="G3" t="s">
        <v>28</v>
      </c>
      <c r="H3" s="12">
        <v>0.54000961538461534</v>
      </c>
      <c r="I3" s="6">
        <v>46068.830671296295</v>
      </c>
    </row>
    <row r="4" spans="1:9" x14ac:dyDescent="0.25">
      <c r="A4">
        <v>2</v>
      </c>
      <c r="B4" t="s">
        <v>10</v>
      </c>
      <c r="C4" s="10">
        <v>3.2711864406779663</v>
      </c>
      <c r="D4">
        <v>0.3430796610169492</v>
      </c>
      <c r="E4" t="s">
        <v>27</v>
      </c>
      <c r="F4" t="s">
        <v>410</v>
      </c>
      <c r="G4" t="s">
        <v>28</v>
      </c>
      <c r="H4" s="12">
        <v>0.38764152542372882</v>
      </c>
      <c r="I4" s="6">
        <v>46068.830671296295</v>
      </c>
    </row>
    <row r="5" spans="1:9" x14ac:dyDescent="0.25">
      <c r="A5">
        <v>3</v>
      </c>
      <c r="B5" t="s">
        <v>9</v>
      </c>
      <c r="C5" s="10">
        <v>3.2222222222222223</v>
      </c>
      <c r="D5">
        <v>0.35518888888888889</v>
      </c>
      <c r="E5" t="s">
        <v>27</v>
      </c>
      <c r="F5" t="s">
        <v>411</v>
      </c>
      <c r="G5" t="s">
        <v>32</v>
      </c>
      <c r="H5" s="12">
        <v>0.39981666666666665</v>
      </c>
      <c r="I5" s="6">
        <v>46068.830671296295</v>
      </c>
    </row>
    <row r="6" spans="1:9" x14ac:dyDescent="0.25">
      <c r="A6">
        <v>4</v>
      </c>
      <c r="B6" t="s">
        <v>7</v>
      </c>
      <c r="D6">
        <v>0.41610222222222221</v>
      </c>
      <c r="E6" t="s">
        <v>27</v>
      </c>
      <c r="F6" t="s">
        <v>412</v>
      </c>
      <c r="G6" t="s">
        <v>28</v>
      </c>
      <c r="I6" s="6">
        <v>46068.830671296295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239"/>
  <sheetViews>
    <sheetView zoomScale="80" zoomScaleNormal="80" workbookViewId="0">
      <selection activeCell="J3" sqref="J3"/>
    </sheetView>
  </sheetViews>
  <sheetFormatPr defaultRowHeight="15" x14ac:dyDescent="0.25"/>
  <cols>
    <col min="1" max="1" width="10.5703125" style="8" bestFit="1" customWidth="1"/>
    <col min="2" max="2" width="13" style="1" bestFit="1" customWidth="1"/>
    <col min="3" max="3" width="16.5703125" style="1" bestFit="1" customWidth="1"/>
    <col min="4" max="4" width="13.42578125" style="1" bestFit="1" customWidth="1"/>
    <col min="5" max="5" width="14.28515625" style="1" bestFit="1" customWidth="1"/>
    <col min="6" max="6" width="12.5703125" style="1" bestFit="1" customWidth="1"/>
    <col min="7" max="7" width="46.42578125" style="1" bestFit="1" customWidth="1"/>
    <col min="9" max="9" width="23.28515625" bestFit="1" customWidth="1"/>
    <col min="10" max="10" width="10.85546875" customWidth="1"/>
    <col min="12" max="12" width="14.5703125" bestFit="1" customWidth="1"/>
    <col min="13" max="13" width="22.5703125" bestFit="1" customWidth="1"/>
  </cols>
  <sheetData>
    <row r="1" spans="1:13" x14ac:dyDescent="0.25">
      <c r="A1" s="8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t="s">
        <v>13</v>
      </c>
      <c r="J1" t="s">
        <v>14</v>
      </c>
      <c r="L1" s="4" t="s">
        <v>18</v>
      </c>
      <c r="M1" t="s">
        <v>20</v>
      </c>
    </row>
    <row r="2" spans="1:13" x14ac:dyDescent="0.25">
      <c r="A2" s="8" t="s">
        <v>56</v>
      </c>
      <c r="B2" s="1" t="s">
        <v>57</v>
      </c>
      <c r="C2" s="1" t="s">
        <v>7</v>
      </c>
      <c r="E2" s="1" t="s">
        <v>8</v>
      </c>
      <c r="G2" s="1" t="s">
        <v>58</v>
      </c>
      <c r="I2" t="s">
        <v>15</v>
      </c>
      <c r="J2">
        <f>COUNTA(B:B)</f>
        <v>239</v>
      </c>
      <c r="L2" s="1" t="s">
        <v>11</v>
      </c>
      <c r="M2">
        <v>10</v>
      </c>
    </row>
    <row r="3" spans="1:13" x14ac:dyDescent="0.25">
      <c r="A3" s="8" t="s">
        <v>59</v>
      </c>
      <c r="B3" s="1" t="s">
        <v>60</v>
      </c>
      <c r="C3" s="1" t="s">
        <v>10</v>
      </c>
      <c r="D3" s="1">
        <v>4</v>
      </c>
      <c r="E3" s="1" t="s">
        <v>8</v>
      </c>
      <c r="G3" s="1" t="s">
        <v>61</v>
      </c>
      <c r="I3" t="s">
        <v>8</v>
      </c>
      <c r="J3" s="2">
        <f>COUNTIF(E:E,"Resolved")/COUNTIF(E:E,"&lt;&gt;")</f>
        <v>0.53556485355648531</v>
      </c>
      <c r="L3" s="1" t="s">
        <v>12</v>
      </c>
      <c r="M3">
        <v>10</v>
      </c>
    </row>
    <row r="4" spans="1:13" x14ac:dyDescent="0.25">
      <c r="A4" s="8" t="s">
        <v>62</v>
      </c>
      <c r="B4" s="1" t="s">
        <v>63</v>
      </c>
      <c r="C4" s="1" t="s">
        <v>7</v>
      </c>
      <c r="E4" s="1" t="s">
        <v>8</v>
      </c>
      <c r="G4" s="1" t="s">
        <v>58</v>
      </c>
      <c r="I4" t="s">
        <v>16</v>
      </c>
      <c r="J4">
        <f>AVERAGE(Feedback_Data[Rating (1–5)])</f>
        <v>3.108974358974359</v>
      </c>
      <c r="L4" s="1" t="s">
        <v>10</v>
      </c>
      <c r="M4">
        <v>10</v>
      </c>
    </row>
    <row r="5" spans="1:13" x14ac:dyDescent="0.25">
      <c r="A5" s="8" t="s">
        <v>64</v>
      </c>
      <c r="B5" s="1" t="s">
        <v>65</v>
      </c>
      <c r="C5" s="1" t="s">
        <v>9</v>
      </c>
      <c r="D5" s="1">
        <v>2</v>
      </c>
      <c r="E5" s="1" t="s">
        <v>33</v>
      </c>
      <c r="G5" s="1" t="s">
        <v>66</v>
      </c>
      <c r="I5" t="s">
        <v>17</v>
      </c>
      <c r="J5" s="3" t="e">
        <f>COUNTIF(Feedback_Data[Follow-Up],"Yes") / COUNTA(Feedback_Data[Follow-Up])</f>
        <v>#DIV/0!</v>
      </c>
      <c r="L5" s="1" t="s">
        <v>9</v>
      </c>
      <c r="M5">
        <v>10</v>
      </c>
    </row>
    <row r="6" spans="1:13" x14ac:dyDescent="0.25">
      <c r="A6" s="8" t="s">
        <v>67</v>
      </c>
      <c r="B6" s="1" t="s">
        <v>68</v>
      </c>
      <c r="C6" s="1" t="s">
        <v>7</v>
      </c>
      <c r="E6" s="1" t="s">
        <v>8</v>
      </c>
      <c r="G6" s="1" t="s">
        <v>69</v>
      </c>
      <c r="L6" s="1" t="s">
        <v>7</v>
      </c>
      <c r="M6">
        <v>10</v>
      </c>
    </row>
    <row r="7" spans="1:13" x14ac:dyDescent="0.25">
      <c r="A7" s="8" t="s">
        <v>70</v>
      </c>
      <c r="B7" s="1" t="s">
        <v>71</v>
      </c>
      <c r="C7" s="1" t="s">
        <v>12</v>
      </c>
      <c r="E7" s="1" t="s">
        <v>8</v>
      </c>
      <c r="G7" s="1" t="s">
        <v>72</v>
      </c>
      <c r="L7" s="1" t="s">
        <v>19</v>
      </c>
      <c r="M7">
        <v>50</v>
      </c>
    </row>
    <row r="8" spans="1:13" x14ac:dyDescent="0.25">
      <c r="A8" s="8" t="s">
        <v>73</v>
      </c>
      <c r="B8" s="1" t="s">
        <v>74</v>
      </c>
      <c r="C8" s="1" t="s">
        <v>7</v>
      </c>
      <c r="E8" s="1" t="s">
        <v>8</v>
      </c>
      <c r="G8" s="1" t="s">
        <v>75</v>
      </c>
      <c r="L8" s="13" t="s">
        <v>30</v>
      </c>
      <c r="M8" s="13"/>
    </row>
    <row r="9" spans="1:13" ht="15" customHeight="1" x14ac:dyDescent="0.25">
      <c r="A9" s="8" t="s">
        <v>76</v>
      </c>
      <c r="B9" s="1" t="s">
        <v>77</v>
      </c>
      <c r="C9" s="1" t="s">
        <v>11</v>
      </c>
      <c r="D9" s="1">
        <v>4</v>
      </c>
      <c r="E9" s="1" t="s">
        <v>8</v>
      </c>
      <c r="G9" s="1" t="s">
        <v>78</v>
      </c>
      <c r="L9" s="13" t="s">
        <v>31</v>
      </c>
      <c r="M9" s="13"/>
    </row>
    <row r="10" spans="1:13" ht="15" customHeight="1" x14ac:dyDescent="0.25">
      <c r="A10" s="8" t="s">
        <v>70</v>
      </c>
      <c r="B10" s="1" t="s">
        <v>79</v>
      </c>
      <c r="C10" s="1" t="s">
        <v>10</v>
      </c>
      <c r="D10" s="1">
        <v>3</v>
      </c>
      <c r="E10" s="1" t="s">
        <v>33</v>
      </c>
      <c r="G10" s="1" t="s">
        <v>80</v>
      </c>
      <c r="L10" s="13"/>
      <c r="M10" s="13"/>
    </row>
    <row r="11" spans="1:13" x14ac:dyDescent="0.25">
      <c r="A11" s="8" t="s">
        <v>81</v>
      </c>
      <c r="B11" s="1" t="s">
        <v>82</v>
      </c>
      <c r="C11" s="1" t="s">
        <v>7</v>
      </c>
      <c r="E11" s="1" t="s">
        <v>33</v>
      </c>
      <c r="G11" s="1" t="s">
        <v>83</v>
      </c>
      <c r="L11" s="13"/>
      <c r="M11" s="13"/>
    </row>
    <row r="12" spans="1:13" x14ac:dyDescent="0.25">
      <c r="A12" s="8" t="s">
        <v>84</v>
      </c>
      <c r="B12" s="1" t="s">
        <v>85</v>
      </c>
      <c r="C12" s="1" t="s">
        <v>10</v>
      </c>
      <c r="D12" s="1">
        <v>5</v>
      </c>
      <c r="E12" s="1" t="s">
        <v>8</v>
      </c>
      <c r="G12" s="1" t="s">
        <v>86</v>
      </c>
    </row>
    <row r="13" spans="1:13" x14ac:dyDescent="0.25">
      <c r="A13" s="8" t="s">
        <v>87</v>
      </c>
      <c r="B13" s="1" t="s">
        <v>88</v>
      </c>
      <c r="C13" s="1" t="s">
        <v>10</v>
      </c>
      <c r="D13" s="1">
        <v>5</v>
      </c>
      <c r="E13" s="1" t="s">
        <v>8</v>
      </c>
      <c r="G13" s="1" t="s">
        <v>86</v>
      </c>
    </row>
    <row r="14" spans="1:13" x14ac:dyDescent="0.25">
      <c r="A14" s="8" t="s">
        <v>89</v>
      </c>
      <c r="B14" s="1" t="s">
        <v>90</v>
      </c>
      <c r="C14" s="1" t="s">
        <v>10</v>
      </c>
      <c r="D14" s="1">
        <v>3</v>
      </c>
      <c r="E14" s="1" t="s">
        <v>33</v>
      </c>
      <c r="G14" s="1" t="s">
        <v>91</v>
      </c>
    </row>
    <row r="15" spans="1:13" x14ac:dyDescent="0.25">
      <c r="A15" s="8" t="s">
        <v>92</v>
      </c>
      <c r="B15" s="1" t="s">
        <v>93</v>
      </c>
      <c r="C15" s="1" t="s">
        <v>12</v>
      </c>
      <c r="E15" s="1" t="s">
        <v>8</v>
      </c>
      <c r="G15" s="1" t="s">
        <v>41</v>
      </c>
    </row>
    <row r="16" spans="1:13" x14ac:dyDescent="0.25">
      <c r="A16" s="8" t="s">
        <v>94</v>
      </c>
      <c r="B16" s="1" t="s">
        <v>95</v>
      </c>
      <c r="C16" s="1" t="s">
        <v>9</v>
      </c>
      <c r="D16" s="1">
        <v>5</v>
      </c>
      <c r="E16" s="1" t="s">
        <v>8</v>
      </c>
      <c r="G16" s="1" t="s">
        <v>96</v>
      </c>
    </row>
    <row r="17" spans="1:7" x14ac:dyDescent="0.25">
      <c r="A17" s="8" t="s">
        <v>62</v>
      </c>
      <c r="B17" s="1" t="s">
        <v>35</v>
      </c>
      <c r="C17" s="1" t="s">
        <v>11</v>
      </c>
      <c r="D17" s="1">
        <v>3</v>
      </c>
      <c r="E17" s="1" t="s">
        <v>8</v>
      </c>
      <c r="G17" s="1" t="s">
        <v>97</v>
      </c>
    </row>
    <row r="18" spans="1:7" x14ac:dyDescent="0.25">
      <c r="A18" s="8" t="s">
        <v>98</v>
      </c>
      <c r="B18" s="1" t="s">
        <v>36</v>
      </c>
      <c r="C18" s="1" t="s">
        <v>7</v>
      </c>
      <c r="E18" s="1" t="s">
        <v>8</v>
      </c>
      <c r="G18" s="1" t="s">
        <v>99</v>
      </c>
    </row>
    <row r="19" spans="1:7" x14ac:dyDescent="0.25">
      <c r="A19" s="8" t="s">
        <v>100</v>
      </c>
      <c r="B19" s="1" t="s">
        <v>37</v>
      </c>
      <c r="C19" s="1" t="s">
        <v>10</v>
      </c>
      <c r="D19" s="1">
        <v>5</v>
      </c>
      <c r="E19" s="1" t="s">
        <v>8</v>
      </c>
      <c r="G19" s="1" t="s">
        <v>86</v>
      </c>
    </row>
    <row r="20" spans="1:7" x14ac:dyDescent="0.25">
      <c r="A20" s="8" t="s">
        <v>101</v>
      </c>
      <c r="B20" s="1" t="s">
        <v>38</v>
      </c>
      <c r="C20" s="1" t="s">
        <v>7</v>
      </c>
      <c r="E20" s="1" t="s">
        <v>33</v>
      </c>
      <c r="G20" s="1" t="s">
        <v>75</v>
      </c>
    </row>
    <row r="21" spans="1:7" x14ac:dyDescent="0.25">
      <c r="A21" s="8" t="s">
        <v>102</v>
      </c>
      <c r="B21" s="1" t="s">
        <v>39</v>
      </c>
      <c r="C21" s="1" t="s">
        <v>11</v>
      </c>
      <c r="D21" s="1">
        <v>2</v>
      </c>
      <c r="E21" s="1" t="s">
        <v>33</v>
      </c>
      <c r="G21" s="1" t="s">
        <v>103</v>
      </c>
    </row>
    <row r="22" spans="1:7" x14ac:dyDescent="0.25">
      <c r="A22" s="8" t="s">
        <v>104</v>
      </c>
      <c r="B22" s="1" t="s">
        <v>40</v>
      </c>
      <c r="C22" s="1" t="s">
        <v>11</v>
      </c>
      <c r="D22" s="1">
        <v>3</v>
      </c>
      <c r="E22" s="1" t="s">
        <v>8</v>
      </c>
      <c r="G22" s="1" t="s">
        <v>97</v>
      </c>
    </row>
    <row r="23" spans="1:7" x14ac:dyDescent="0.25">
      <c r="A23" s="8" t="s">
        <v>104</v>
      </c>
      <c r="B23" s="1" t="s">
        <v>42</v>
      </c>
      <c r="C23" s="1" t="s">
        <v>10</v>
      </c>
      <c r="D23" s="1">
        <v>2</v>
      </c>
      <c r="E23" s="1" t="s">
        <v>33</v>
      </c>
      <c r="G23" s="1" t="s">
        <v>105</v>
      </c>
    </row>
    <row r="24" spans="1:7" x14ac:dyDescent="0.25">
      <c r="A24" s="8" t="s">
        <v>106</v>
      </c>
      <c r="B24" s="1" t="s">
        <v>43</v>
      </c>
      <c r="C24" s="1" t="s">
        <v>11</v>
      </c>
      <c r="D24" s="1">
        <v>5</v>
      </c>
      <c r="E24" s="1" t="s">
        <v>8</v>
      </c>
      <c r="G24" s="1" t="s">
        <v>107</v>
      </c>
    </row>
    <row r="25" spans="1:7" x14ac:dyDescent="0.25">
      <c r="A25" s="8" t="s">
        <v>70</v>
      </c>
      <c r="B25" s="1" t="s">
        <v>44</v>
      </c>
      <c r="C25" s="1" t="s">
        <v>9</v>
      </c>
      <c r="D25" s="1">
        <v>3</v>
      </c>
      <c r="E25" s="1" t="s">
        <v>8</v>
      </c>
      <c r="G25" s="1" t="s">
        <v>108</v>
      </c>
    </row>
    <row r="26" spans="1:7" x14ac:dyDescent="0.25">
      <c r="A26" s="8" t="s">
        <v>109</v>
      </c>
      <c r="B26" s="1" t="s">
        <v>45</v>
      </c>
      <c r="C26" s="1" t="s">
        <v>9</v>
      </c>
      <c r="D26" s="1">
        <v>3</v>
      </c>
      <c r="E26" s="1" t="s">
        <v>8</v>
      </c>
      <c r="G26" s="1" t="s">
        <v>108</v>
      </c>
    </row>
    <row r="27" spans="1:7" x14ac:dyDescent="0.25">
      <c r="A27" s="8" t="s">
        <v>110</v>
      </c>
      <c r="B27" s="1" t="s">
        <v>46</v>
      </c>
      <c r="C27" s="1" t="s">
        <v>12</v>
      </c>
      <c r="E27" s="1" t="s">
        <v>33</v>
      </c>
      <c r="G27" s="1" t="s">
        <v>111</v>
      </c>
    </row>
    <row r="28" spans="1:7" x14ac:dyDescent="0.25">
      <c r="A28" s="8" t="s">
        <v>112</v>
      </c>
      <c r="B28" s="1" t="s">
        <v>47</v>
      </c>
      <c r="C28" s="1" t="s">
        <v>11</v>
      </c>
      <c r="D28" s="1">
        <v>3</v>
      </c>
      <c r="E28" s="1" t="s">
        <v>8</v>
      </c>
      <c r="G28" s="1" t="s">
        <v>113</v>
      </c>
    </row>
    <row r="29" spans="1:7" x14ac:dyDescent="0.25">
      <c r="A29" s="8" t="s">
        <v>114</v>
      </c>
      <c r="B29" s="1" t="s">
        <v>48</v>
      </c>
      <c r="C29" s="1" t="s">
        <v>9</v>
      </c>
      <c r="D29" s="1">
        <v>4</v>
      </c>
      <c r="E29" s="1" t="s">
        <v>8</v>
      </c>
      <c r="G29" s="1" t="s">
        <v>115</v>
      </c>
    </row>
    <row r="30" spans="1:7" x14ac:dyDescent="0.25">
      <c r="A30" s="8" t="s">
        <v>102</v>
      </c>
      <c r="B30" s="1" t="s">
        <v>49</v>
      </c>
      <c r="C30" s="1" t="s">
        <v>7</v>
      </c>
      <c r="E30" s="1" t="s">
        <v>33</v>
      </c>
      <c r="G30" s="1" t="s">
        <v>116</v>
      </c>
    </row>
    <row r="31" spans="1:7" x14ac:dyDescent="0.25">
      <c r="A31" s="8" t="s">
        <v>92</v>
      </c>
      <c r="B31" s="1" t="s">
        <v>50</v>
      </c>
      <c r="C31" s="1" t="s">
        <v>12</v>
      </c>
      <c r="E31" s="1" t="s">
        <v>33</v>
      </c>
      <c r="G31" s="1" t="s">
        <v>117</v>
      </c>
    </row>
    <row r="32" spans="1:7" x14ac:dyDescent="0.25">
      <c r="A32" s="8" t="s">
        <v>118</v>
      </c>
      <c r="B32" s="1" t="s">
        <v>51</v>
      </c>
      <c r="C32" s="1" t="s">
        <v>10</v>
      </c>
      <c r="D32" s="1">
        <v>2</v>
      </c>
      <c r="E32" s="1" t="s">
        <v>33</v>
      </c>
      <c r="G32" s="1" t="s">
        <v>105</v>
      </c>
    </row>
    <row r="33" spans="1:7" x14ac:dyDescent="0.25">
      <c r="A33" s="8" t="s">
        <v>64</v>
      </c>
      <c r="B33" s="1" t="s">
        <v>52</v>
      </c>
      <c r="C33" s="1" t="s">
        <v>11</v>
      </c>
      <c r="D33" s="1">
        <v>5</v>
      </c>
      <c r="E33" s="1" t="s">
        <v>8</v>
      </c>
      <c r="G33" s="1" t="s">
        <v>107</v>
      </c>
    </row>
    <row r="34" spans="1:7" x14ac:dyDescent="0.25">
      <c r="A34" s="8" t="s">
        <v>84</v>
      </c>
      <c r="B34" s="1" t="s">
        <v>53</v>
      </c>
      <c r="C34" s="1" t="s">
        <v>7</v>
      </c>
      <c r="E34" s="1" t="s">
        <v>8</v>
      </c>
      <c r="G34" s="1" t="s">
        <v>119</v>
      </c>
    </row>
    <row r="35" spans="1:7" x14ac:dyDescent="0.25">
      <c r="A35" s="8" t="s">
        <v>120</v>
      </c>
      <c r="B35" s="1" t="s">
        <v>54</v>
      </c>
      <c r="C35" s="1" t="s">
        <v>7</v>
      </c>
      <c r="E35" s="1" t="s">
        <v>8</v>
      </c>
      <c r="G35" s="1" t="s">
        <v>69</v>
      </c>
    </row>
    <row r="36" spans="1:7" x14ac:dyDescent="0.25">
      <c r="A36" s="8" t="s">
        <v>121</v>
      </c>
      <c r="B36" s="1" t="s">
        <v>55</v>
      </c>
      <c r="C36" s="1" t="s">
        <v>11</v>
      </c>
      <c r="D36" s="1">
        <v>3</v>
      </c>
      <c r="E36" s="1" t="s">
        <v>33</v>
      </c>
      <c r="G36" s="1" t="s">
        <v>97</v>
      </c>
    </row>
    <row r="37" spans="1:7" x14ac:dyDescent="0.25">
      <c r="A37" s="8" t="s">
        <v>122</v>
      </c>
      <c r="B37" s="1" t="s">
        <v>123</v>
      </c>
      <c r="C37" s="1" t="s">
        <v>9</v>
      </c>
      <c r="D37" s="1">
        <v>4</v>
      </c>
      <c r="E37" s="1" t="s">
        <v>8</v>
      </c>
      <c r="G37" s="1" t="s">
        <v>115</v>
      </c>
    </row>
    <row r="38" spans="1:7" x14ac:dyDescent="0.25">
      <c r="A38" s="8" t="s">
        <v>118</v>
      </c>
      <c r="B38" s="1" t="s">
        <v>124</v>
      </c>
      <c r="C38" s="1" t="s">
        <v>9</v>
      </c>
      <c r="D38" s="1">
        <v>2</v>
      </c>
      <c r="E38" s="1" t="s">
        <v>33</v>
      </c>
      <c r="G38" s="1" t="s">
        <v>125</v>
      </c>
    </row>
    <row r="39" spans="1:7" x14ac:dyDescent="0.25">
      <c r="A39" s="8" t="s">
        <v>122</v>
      </c>
      <c r="B39" s="1" t="s">
        <v>126</v>
      </c>
      <c r="C39" s="1" t="s">
        <v>12</v>
      </c>
      <c r="E39" s="1" t="s">
        <v>8</v>
      </c>
      <c r="G39" s="1" t="s">
        <v>41</v>
      </c>
    </row>
    <row r="40" spans="1:7" x14ac:dyDescent="0.25">
      <c r="A40" s="8" t="s">
        <v>92</v>
      </c>
      <c r="B40" s="1" t="s">
        <v>127</v>
      </c>
      <c r="C40" s="1" t="s">
        <v>12</v>
      </c>
      <c r="E40" s="1" t="s">
        <v>33</v>
      </c>
      <c r="G40" s="1" t="s">
        <v>128</v>
      </c>
    </row>
    <row r="41" spans="1:7" x14ac:dyDescent="0.25">
      <c r="A41" s="8" t="s">
        <v>122</v>
      </c>
      <c r="B41" s="1" t="s">
        <v>129</v>
      </c>
      <c r="C41" s="1" t="s">
        <v>9</v>
      </c>
      <c r="D41" s="1">
        <v>5</v>
      </c>
      <c r="E41" s="1" t="s">
        <v>8</v>
      </c>
      <c r="G41" s="1" t="s">
        <v>96</v>
      </c>
    </row>
    <row r="42" spans="1:7" x14ac:dyDescent="0.25">
      <c r="A42" s="8" t="s">
        <v>67</v>
      </c>
      <c r="B42" s="1" t="s">
        <v>130</v>
      </c>
      <c r="C42" s="1" t="s">
        <v>7</v>
      </c>
      <c r="E42" s="1" t="s">
        <v>8</v>
      </c>
      <c r="G42" s="1" t="s">
        <v>119</v>
      </c>
    </row>
    <row r="43" spans="1:7" x14ac:dyDescent="0.25">
      <c r="A43" s="8" t="s">
        <v>131</v>
      </c>
      <c r="B43" s="1" t="s">
        <v>132</v>
      </c>
      <c r="C43" s="1" t="s">
        <v>11</v>
      </c>
      <c r="D43" s="1">
        <v>2</v>
      </c>
      <c r="E43" s="1" t="s">
        <v>33</v>
      </c>
      <c r="G43" s="1" t="s">
        <v>103</v>
      </c>
    </row>
    <row r="44" spans="1:7" x14ac:dyDescent="0.25">
      <c r="A44" s="8" t="s">
        <v>106</v>
      </c>
      <c r="B44" s="1" t="s">
        <v>133</v>
      </c>
      <c r="C44" s="1" t="s">
        <v>7</v>
      </c>
      <c r="E44" s="1" t="s">
        <v>33</v>
      </c>
      <c r="G44" s="1" t="s">
        <v>134</v>
      </c>
    </row>
    <row r="45" spans="1:7" x14ac:dyDescent="0.25">
      <c r="A45" s="8" t="s">
        <v>135</v>
      </c>
      <c r="B45" s="1" t="s">
        <v>136</v>
      </c>
      <c r="C45" s="1" t="s">
        <v>11</v>
      </c>
      <c r="D45" s="1">
        <v>5</v>
      </c>
      <c r="E45" s="1" t="s">
        <v>8</v>
      </c>
      <c r="G45" s="1" t="s">
        <v>137</v>
      </c>
    </row>
    <row r="46" spans="1:7" x14ac:dyDescent="0.25">
      <c r="A46" s="8" t="s">
        <v>114</v>
      </c>
      <c r="B46" s="1" t="s">
        <v>138</v>
      </c>
      <c r="C46" s="1" t="s">
        <v>11</v>
      </c>
      <c r="D46" s="1">
        <v>5</v>
      </c>
      <c r="E46" s="1" t="s">
        <v>8</v>
      </c>
      <c r="G46" s="1" t="s">
        <v>107</v>
      </c>
    </row>
    <row r="47" spans="1:7" x14ac:dyDescent="0.25">
      <c r="A47" s="8" t="s">
        <v>98</v>
      </c>
      <c r="B47" s="1" t="s">
        <v>139</v>
      </c>
      <c r="C47" s="1" t="s">
        <v>7</v>
      </c>
      <c r="E47" s="1" t="s">
        <v>33</v>
      </c>
      <c r="G47" s="1" t="s">
        <v>140</v>
      </c>
    </row>
    <row r="48" spans="1:7" x14ac:dyDescent="0.25">
      <c r="A48" s="8" t="s">
        <v>141</v>
      </c>
      <c r="B48" s="1" t="s">
        <v>142</v>
      </c>
      <c r="C48" s="1" t="s">
        <v>10</v>
      </c>
      <c r="D48" s="1">
        <v>5</v>
      </c>
      <c r="E48" s="1" t="s">
        <v>8</v>
      </c>
      <c r="G48" s="1" t="s">
        <v>86</v>
      </c>
    </row>
    <row r="49" spans="1:7" x14ac:dyDescent="0.25">
      <c r="A49" s="8" t="s">
        <v>143</v>
      </c>
      <c r="B49" s="1" t="s">
        <v>144</v>
      </c>
      <c r="C49" s="1" t="s">
        <v>11</v>
      </c>
      <c r="D49" s="1">
        <v>2</v>
      </c>
      <c r="E49" s="1" t="s">
        <v>33</v>
      </c>
      <c r="G49" s="1" t="s">
        <v>145</v>
      </c>
    </row>
    <row r="50" spans="1:7" x14ac:dyDescent="0.25">
      <c r="A50" s="8" t="s">
        <v>89</v>
      </c>
      <c r="B50" s="1" t="s">
        <v>146</v>
      </c>
      <c r="C50" s="1" t="s">
        <v>10</v>
      </c>
      <c r="D50" s="1">
        <v>4</v>
      </c>
      <c r="E50" s="1" t="s">
        <v>8</v>
      </c>
      <c r="G50" s="1" t="s">
        <v>61</v>
      </c>
    </row>
    <row r="51" spans="1:7" x14ac:dyDescent="0.25">
      <c r="A51" s="8" t="s">
        <v>102</v>
      </c>
      <c r="B51" s="1" t="s">
        <v>147</v>
      </c>
      <c r="C51" s="1" t="s">
        <v>10</v>
      </c>
      <c r="D51" s="1">
        <v>5</v>
      </c>
      <c r="E51" s="1" t="s">
        <v>8</v>
      </c>
      <c r="G51" s="1" t="s">
        <v>148</v>
      </c>
    </row>
    <row r="52" spans="1:7" x14ac:dyDescent="0.25">
      <c r="A52" s="8" t="s">
        <v>149</v>
      </c>
      <c r="B52" s="1" t="s">
        <v>150</v>
      </c>
      <c r="C52" s="1" t="s">
        <v>7</v>
      </c>
      <c r="E52" s="1" t="s">
        <v>8</v>
      </c>
      <c r="G52" s="1" t="s">
        <v>83</v>
      </c>
    </row>
    <row r="53" spans="1:7" x14ac:dyDescent="0.25">
      <c r="A53" s="8" t="s">
        <v>110</v>
      </c>
      <c r="B53" s="1" t="s">
        <v>151</v>
      </c>
      <c r="C53" s="1" t="s">
        <v>10</v>
      </c>
      <c r="D53" s="1">
        <v>3</v>
      </c>
      <c r="E53" s="1" t="s">
        <v>33</v>
      </c>
      <c r="G53" s="1" t="s">
        <v>91</v>
      </c>
    </row>
    <row r="54" spans="1:7" x14ac:dyDescent="0.25">
      <c r="A54" s="8" t="s">
        <v>152</v>
      </c>
      <c r="B54" s="1" t="s">
        <v>153</v>
      </c>
      <c r="C54" s="1" t="s">
        <v>10</v>
      </c>
      <c r="D54" s="1">
        <v>3</v>
      </c>
      <c r="E54" s="1" t="s">
        <v>8</v>
      </c>
      <c r="G54" s="1" t="s">
        <v>80</v>
      </c>
    </row>
    <row r="55" spans="1:7" x14ac:dyDescent="0.25">
      <c r="A55" s="8" t="s">
        <v>154</v>
      </c>
      <c r="B55" s="1" t="s">
        <v>155</v>
      </c>
      <c r="C55" s="1" t="s">
        <v>10</v>
      </c>
      <c r="D55" s="1">
        <v>2</v>
      </c>
      <c r="E55" s="1" t="s">
        <v>33</v>
      </c>
      <c r="G55" s="1" t="s">
        <v>156</v>
      </c>
    </row>
    <row r="56" spans="1:7" x14ac:dyDescent="0.25">
      <c r="A56" s="8" t="s">
        <v>157</v>
      </c>
      <c r="B56" s="1" t="s">
        <v>158</v>
      </c>
      <c r="C56" s="1" t="s">
        <v>7</v>
      </c>
      <c r="E56" s="1" t="s">
        <v>8</v>
      </c>
      <c r="G56" s="1" t="s">
        <v>69</v>
      </c>
    </row>
    <row r="57" spans="1:7" x14ac:dyDescent="0.25">
      <c r="A57" s="8" t="s">
        <v>159</v>
      </c>
      <c r="B57" s="1" t="s">
        <v>160</v>
      </c>
      <c r="C57" s="1" t="s">
        <v>12</v>
      </c>
      <c r="E57" s="1" t="s">
        <v>8</v>
      </c>
      <c r="G57" s="1" t="s">
        <v>161</v>
      </c>
    </row>
    <row r="58" spans="1:7" x14ac:dyDescent="0.25">
      <c r="A58" s="8" t="s">
        <v>162</v>
      </c>
      <c r="B58" s="1" t="s">
        <v>163</v>
      </c>
      <c r="C58" s="1" t="s">
        <v>9</v>
      </c>
      <c r="D58" s="1">
        <v>3</v>
      </c>
      <c r="E58" s="1" t="s">
        <v>8</v>
      </c>
      <c r="G58" s="1" t="s">
        <v>108</v>
      </c>
    </row>
    <row r="59" spans="1:7" x14ac:dyDescent="0.25">
      <c r="A59" s="8" t="s">
        <v>118</v>
      </c>
      <c r="B59" s="1" t="s">
        <v>164</v>
      </c>
      <c r="C59" s="1" t="s">
        <v>10</v>
      </c>
      <c r="D59" s="1">
        <v>4</v>
      </c>
      <c r="E59" s="1" t="s">
        <v>8</v>
      </c>
      <c r="G59" s="1" t="s">
        <v>165</v>
      </c>
    </row>
    <row r="60" spans="1:7" x14ac:dyDescent="0.25">
      <c r="A60" s="8" t="s">
        <v>62</v>
      </c>
      <c r="B60" s="1" t="s">
        <v>166</v>
      </c>
      <c r="C60" s="1" t="s">
        <v>9</v>
      </c>
      <c r="D60" s="1">
        <v>5</v>
      </c>
      <c r="E60" s="1" t="s">
        <v>8</v>
      </c>
      <c r="G60" s="1" t="s">
        <v>167</v>
      </c>
    </row>
    <row r="61" spans="1:7" x14ac:dyDescent="0.25">
      <c r="A61" s="8" t="s">
        <v>168</v>
      </c>
      <c r="B61" s="1" t="s">
        <v>169</v>
      </c>
      <c r="C61" s="1" t="s">
        <v>9</v>
      </c>
      <c r="D61" s="1">
        <v>4</v>
      </c>
      <c r="E61" s="1" t="s">
        <v>8</v>
      </c>
      <c r="G61" s="1" t="s">
        <v>115</v>
      </c>
    </row>
    <row r="62" spans="1:7" x14ac:dyDescent="0.25">
      <c r="A62" s="8" t="s">
        <v>81</v>
      </c>
      <c r="B62" s="1" t="s">
        <v>170</v>
      </c>
      <c r="C62" s="1" t="s">
        <v>11</v>
      </c>
      <c r="D62" s="1">
        <v>1</v>
      </c>
      <c r="E62" s="1" t="s">
        <v>33</v>
      </c>
      <c r="G62" s="1" t="s">
        <v>171</v>
      </c>
    </row>
    <row r="63" spans="1:7" x14ac:dyDescent="0.25">
      <c r="A63" s="8" t="s">
        <v>172</v>
      </c>
      <c r="B63" s="1" t="s">
        <v>173</v>
      </c>
      <c r="C63" s="1" t="s">
        <v>9</v>
      </c>
      <c r="D63" s="1">
        <v>1</v>
      </c>
      <c r="E63" s="1" t="s">
        <v>33</v>
      </c>
      <c r="G63" s="1" t="s">
        <v>174</v>
      </c>
    </row>
    <row r="64" spans="1:7" x14ac:dyDescent="0.25">
      <c r="A64" s="8" t="s">
        <v>175</v>
      </c>
      <c r="B64" s="1" t="s">
        <v>176</v>
      </c>
      <c r="C64" s="1" t="s">
        <v>12</v>
      </c>
      <c r="E64" s="1" t="s">
        <v>8</v>
      </c>
      <c r="G64" s="1" t="s">
        <v>177</v>
      </c>
    </row>
    <row r="65" spans="1:7" x14ac:dyDescent="0.25">
      <c r="A65" s="8" t="s">
        <v>178</v>
      </c>
      <c r="B65" s="1" t="s">
        <v>179</v>
      </c>
      <c r="C65" s="1" t="s">
        <v>9</v>
      </c>
      <c r="D65" s="1">
        <v>4</v>
      </c>
      <c r="E65" s="1" t="s">
        <v>8</v>
      </c>
      <c r="G65" s="1" t="s">
        <v>115</v>
      </c>
    </row>
    <row r="66" spans="1:7" x14ac:dyDescent="0.25">
      <c r="A66" s="8" t="s">
        <v>67</v>
      </c>
      <c r="B66" s="1" t="s">
        <v>180</v>
      </c>
      <c r="C66" s="1" t="s">
        <v>9</v>
      </c>
      <c r="D66" s="1">
        <v>3</v>
      </c>
      <c r="E66" s="1" t="s">
        <v>33</v>
      </c>
      <c r="G66" s="1" t="s">
        <v>181</v>
      </c>
    </row>
    <row r="67" spans="1:7" x14ac:dyDescent="0.25">
      <c r="A67" s="8" t="s">
        <v>104</v>
      </c>
      <c r="B67" s="1" t="s">
        <v>182</v>
      </c>
      <c r="C67" s="1" t="s">
        <v>9</v>
      </c>
      <c r="D67" s="1">
        <v>1</v>
      </c>
      <c r="E67" s="1" t="s">
        <v>33</v>
      </c>
      <c r="G67" s="1" t="s">
        <v>174</v>
      </c>
    </row>
    <row r="68" spans="1:7" x14ac:dyDescent="0.25">
      <c r="A68" s="8" t="s">
        <v>101</v>
      </c>
      <c r="B68" s="1" t="s">
        <v>183</v>
      </c>
      <c r="C68" s="1" t="s">
        <v>12</v>
      </c>
      <c r="E68" s="1" t="s">
        <v>8</v>
      </c>
      <c r="G68" s="1" t="s">
        <v>72</v>
      </c>
    </row>
    <row r="69" spans="1:7" x14ac:dyDescent="0.25">
      <c r="A69" s="8" t="s">
        <v>184</v>
      </c>
      <c r="B69" s="1" t="s">
        <v>185</v>
      </c>
      <c r="C69" s="1" t="s">
        <v>11</v>
      </c>
      <c r="D69" s="1">
        <v>1</v>
      </c>
      <c r="E69" s="1" t="s">
        <v>33</v>
      </c>
      <c r="G69" s="1" t="s">
        <v>186</v>
      </c>
    </row>
    <row r="70" spans="1:7" x14ac:dyDescent="0.25">
      <c r="A70" s="8" t="s">
        <v>187</v>
      </c>
      <c r="B70" s="1" t="s">
        <v>188</v>
      </c>
      <c r="C70" s="1" t="s">
        <v>10</v>
      </c>
      <c r="D70" s="1">
        <v>3</v>
      </c>
      <c r="E70" s="1" t="s">
        <v>33</v>
      </c>
      <c r="G70" s="1" t="s">
        <v>80</v>
      </c>
    </row>
    <row r="71" spans="1:7" x14ac:dyDescent="0.25">
      <c r="A71" s="8" t="s">
        <v>56</v>
      </c>
      <c r="B71" s="1" t="s">
        <v>189</v>
      </c>
      <c r="C71" s="1" t="s">
        <v>12</v>
      </c>
      <c r="E71" s="1" t="s">
        <v>8</v>
      </c>
      <c r="G71" s="1" t="s">
        <v>41</v>
      </c>
    </row>
    <row r="72" spans="1:7" x14ac:dyDescent="0.25">
      <c r="A72" s="8" t="s">
        <v>190</v>
      </c>
      <c r="B72" s="1" t="s">
        <v>191</v>
      </c>
      <c r="C72" s="1" t="s">
        <v>7</v>
      </c>
      <c r="E72" s="1" t="s">
        <v>8</v>
      </c>
      <c r="G72" s="1" t="s">
        <v>99</v>
      </c>
    </row>
    <row r="73" spans="1:7" x14ac:dyDescent="0.25">
      <c r="A73" s="8" t="s">
        <v>192</v>
      </c>
      <c r="B73" s="1" t="s">
        <v>193</v>
      </c>
      <c r="C73" s="1" t="s">
        <v>9</v>
      </c>
      <c r="D73" s="1">
        <v>3</v>
      </c>
      <c r="E73" s="1" t="s">
        <v>33</v>
      </c>
      <c r="G73" s="1" t="s">
        <v>108</v>
      </c>
    </row>
    <row r="74" spans="1:7" x14ac:dyDescent="0.25">
      <c r="A74" s="8" t="s">
        <v>121</v>
      </c>
      <c r="B74" s="1" t="s">
        <v>194</v>
      </c>
      <c r="C74" s="1" t="s">
        <v>12</v>
      </c>
      <c r="E74" s="1" t="s">
        <v>33</v>
      </c>
      <c r="G74" s="1" t="s">
        <v>111</v>
      </c>
    </row>
    <row r="75" spans="1:7" x14ac:dyDescent="0.25">
      <c r="A75" s="8" t="s">
        <v>195</v>
      </c>
      <c r="B75" s="1" t="s">
        <v>196</v>
      </c>
      <c r="C75" s="1" t="s">
        <v>10</v>
      </c>
      <c r="D75" s="1">
        <v>1</v>
      </c>
      <c r="E75" s="1" t="s">
        <v>33</v>
      </c>
      <c r="G75" s="1" t="s">
        <v>197</v>
      </c>
    </row>
    <row r="76" spans="1:7" x14ac:dyDescent="0.25">
      <c r="A76" s="8" t="s">
        <v>198</v>
      </c>
      <c r="B76" s="1" t="s">
        <v>199</v>
      </c>
      <c r="C76" s="1" t="s">
        <v>10</v>
      </c>
      <c r="D76" s="1">
        <v>1</v>
      </c>
      <c r="E76" s="1" t="s">
        <v>33</v>
      </c>
      <c r="G76" s="1" t="s">
        <v>197</v>
      </c>
    </row>
    <row r="77" spans="1:7" x14ac:dyDescent="0.25">
      <c r="A77" s="8" t="s">
        <v>135</v>
      </c>
      <c r="B77" s="1" t="s">
        <v>200</v>
      </c>
      <c r="C77" s="1" t="s">
        <v>9</v>
      </c>
      <c r="D77" s="1">
        <v>4</v>
      </c>
      <c r="E77" s="1" t="s">
        <v>8</v>
      </c>
      <c r="G77" s="1" t="s">
        <v>115</v>
      </c>
    </row>
    <row r="78" spans="1:7" x14ac:dyDescent="0.25">
      <c r="A78" s="8" t="s">
        <v>201</v>
      </c>
      <c r="B78" s="1" t="s">
        <v>202</v>
      </c>
      <c r="C78" s="1" t="s">
        <v>11</v>
      </c>
      <c r="D78" s="1">
        <v>2</v>
      </c>
      <c r="E78" s="1" t="s">
        <v>33</v>
      </c>
      <c r="G78" s="1" t="s">
        <v>103</v>
      </c>
    </row>
    <row r="79" spans="1:7" x14ac:dyDescent="0.25">
      <c r="A79" s="8" t="s">
        <v>203</v>
      </c>
      <c r="B79" s="1" t="s">
        <v>204</v>
      </c>
      <c r="C79" s="1" t="s">
        <v>12</v>
      </c>
      <c r="E79" s="1" t="s">
        <v>8</v>
      </c>
      <c r="G79" s="1" t="s">
        <v>72</v>
      </c>
    </row>
    <row r="80" spans="1:7" x14ac:dyDescent="0.25">
      <c r="A80" s="8" t="s">
        <v>205</v>
      </c>
      <c r="B80" s="1" t="s">
        <v>206</v>
      </c>
      <c r="C80" s="1" t="s">
        <v>12</v>
      </c>
      <c r="E80" s="1" t="s">
        <v>33</v>
      </c>
      <c r="G80" s="1" t="s">
        <v>111</v>
      </c>
    </row>
    <row r="81" spans="1:7" x14ac:dyDescent="0.25">
      <c r="A81" s="8" t="s">
        <v>207</v>
      </c>
      <c r="B81" s="1" t="s">
        <v>208</v>
      </c>
      <c r="C81" s="1" t="s">
        <v>9</v>
      </c>
      <c r="D81" s="1">
        <v>5</v>
      </c>
      <c r="E81" s="1" t="s">
        <v>8</v>
      </c>
      <c r="G81" s="1" t="s">
        <v>96</v>
      </c>
    </row>
    <row r="82" spans="1:7" x14ac:dyDescent="0.25">
      <c r="A82" s="8" t="s">
        <v>209</v>
      </c>
      <c r="B82" s="1" t="s">
        <v>210</v>
      </c>
      <c r="C82" s="1" t="s">
        <v>10</v>
      </c>
      <c r="D82" s="1">
        <v>2</v>
      </c>
      <c r="E82" s="1" t="s">
        <v>33</v>
      </c>
      <c r="G82" s="1" t="s">
        <v>105</v>
      </c>
    </row>
    <row r="83" spans="1:7" x14ac:dyDescent="0.25">
      <c r="A83" s="8" t="s">
        <v>120</v>
      </c>
      <c r="B83" s="1" t="s">
        <v>211</v>
      </c>
      <c r="C83" s="1" t="s">
        <v>7</v>
      </c>
      <c r="E83" s="1" t="s">
        <v>8</v>
      </c>
      <c r="G83" s="1" t="s">
        <v>99</v>
      </c>
    </row>
    <row r="84" spans="1:7" x14ac:dyDescent="0.25">
      <c r="A84" s="8" t="s">
        <v>114</v>
      </c>
      <c r="B84" s="1" t="s">
        <v>212</v>
      </c>
      <c r="C84" s="1" t="s">
        <v>7</v>
      </c>
      <c r="E84" s="1" t="s">
        <v>8</v>
      </c>
      <c r="G84" s="1" t="s">
        <v>69</v>
      </c>
    </row>
    <row r="85" spans="1:7" x14ac:dyDescent="0.25">
      <c r="A85" s="8" t="s">
        <v>213</v>
      </c>
      <c r="B85" s="1" t="s">
        <v>214</v>
      </c>
      <c r="C85" s="1" t="s">
        <v>9</v>
      </c>
      <c r="D85" s="1">
        <v>1</v>
      </c>
      <c r="E85" s="1" t="s">
        <v>33</v>
      </c>
      <c r="G85" s="1" t="s">
        <v>174</v>
      </c>
    </row>
    <row r="86" spans="1:7" x14ac:dyDescent="0.25">
      <c r="A86" s="8" t="s">
        <v>215</v>
      </c>
      <c r="B86" s="1" t="s">
        <v>216</v>
      </c>
      <c r="C86" s="1" t="s">
        <v>10</v>
      </c>
      <c r="D86" s="1">
        <v>5</v>
      </c>
      <c r="E86" s="1" t="s">
        <v>8</v>
      </c>
      <c r="G86" s="1" t="s">
        <v>86</v>
      </c>
    </row>
    <row r="87" spans="1:7" x14ac:dyDescent="0.25">
      <c r="A87" s="8" t="s">
        <v>217</v>
      </c>
      <c r="B87" s="1" t="s">
        <v>218</v>
      </c>
      <c r="C87" s="1" t="s">
        <v>12</v>
      </c>
      <c r="E87" s="1" t="s">
        <v>8</v>
      </c>
      <c r="G87" s="1" t="s">
        <v>72</v>
      </c>
    </row>
    <row r="88" spans="1:7" x14ac:dyDescent="0.25">
      <c r="A88" s="8" t="s">
        <v>149</v>
      </c>
      <c r="B88" s="1" t="s">
        <v>219</v>
      </c>
      <c r="C88" s="1" t="s">
        <v>11</v>
      </c>
      <c r="D88" s="1">
        <v>2</v>
      </c>
      <c r="E88" s="1" t="s">
        <v>33</v>
      </c>
      <c r="G88" s="1" t="s">
        <v>103</v>
      </c>
    </row>
    <row r="89" spans="1:7" x14ac:dyDescent="0.25">
      <c r="A89" s="8" t="s">
        <v>104</v>
      </c>
      <c r="B89" s="1" t="s">
        <v>220</v>
      </c>
      <c r="C89" s="1" t="s">
        <v>12</v>
      </c>
      <c r="E89" s="1" t="s">
        <v>33</v>
      </c>
      <c r="G89" s="1" t="s">
        <v>111</v>
      </c>
    </row>
    <row r="90" spans="1:7" x14ac:dyDescent="0.25">
      <c r="A90" s="8" t="s">
        <v>94</v>
      </c>
      <c r="B90" s="1" t="s">
        <v>221</v>
      </c>
      <c r="C90" s="1" t="s">
        <v>11</v>
      </c>
      <c r="D90" s="1">
        <v>1</v>
      </c>
      <c r="E90" s="1" t="s">
        <v>33</v>
      </c>
      <c r="G90" s="1" t="s">
        <v>186</v>
      </c>
    </row>
    <row r="91" spans="1:7" x14ac:dyDescent="0.25">
      <c r="A91" s="8" t="s">
        <v>205</v>
      </c>
      <c r="B91" s="1" t="s">
        <v>222</v>
      </c>
      <c r="C91" s="1" t="s">
        <v>9</v>
      </c>
      <c r="D91" s="1">
        <v>5</v>
      </c>
      <c r="E91" s="1" t="s">
        <v>8</v>
      </c>
      <c r="G91" s="1" t="s">
        <v>96</v>
      </c>
    </row>
    <row r="92" spans="1:7" x14ac:dyDescent="0.25">
      <c r="A92" s="8" t="s">
        <v>198</v>
      </c>
      <c r="B92" s="1" t="s">
        <v>223</v>
      </c>
      <c r="C92" s="1" t="s">
        <v>9</v>
      </c>
      <c r="D92" s="1">
        <v>4</v>
      </c>
      <c r="E92" s="1" t="s">
        <v>8</v>
      </c>
      <c r="G92" s="1" t="s">
        <v>224</v>
      </c>
    </row>
    <row r="93" spans="1:7" x14ac:dyDescent="0.25">
      <c r="A93" s="8" t="s">
        <v>141</v>
      </c>
      <c r="B93" s="1" t="s">
        <v>225</v>
      </c>
      <c r="C93" s="1" t="s">
        <v>9</v>
      </c>
      <c r="D93" s="1">
        <v>5</v>
      </c>
      <c r="E93" s="1" t="s">
        <v>8</v>
      </c>
      <c r="G93" s="1" t="s">
        <v>167</v>
      </c>
    </row>
    <row r="94" spans="1:7" x14ac:dyDescent="0.25">
      <c r="A94" s="8" t="s">
        <v>178</v>
      </c>
      <c r="B94" s="1" t="s">
        <v>226</v>
      </c>
      <c r="C94" s="1" t="s">
        <v>9</v>
      </c>
      <c r="D94" s="1">
        <v>3</v>
      </c>
      <c r="E94" s="1" t="s">
        <v>33</v>
      </c>
      <c r="G94" s="1" t="s">
        <v>181</v>
      </c>
    </row>
    <row r="95" spans="1:7" x14ac:dyDescent="0.25">
      <c r="A95" s="8" t="s">
        <v>227</v>
      </c>
      <c r="B95" s="1" t="s">
        <v>228</v>
      </c>
      <c r="C95" s="1" t="s">
        <v>11</v>
      </c>
      <c r="D95" s="1">
        <v>4</v>
      </c>
      <c r="E95" s="1" t="s">
        <v>8</v>
      </c>
      <c r="G95" s="1" t="s">
        <v>229</v>
      </c>
    </row>
    <row r="96" spans="1:7" x14ac:dyDescent="0.25">
      <c r="A96" s="8" t="s">
        <v>76</v>
      </c>
      <c r="B96" s="1" t="s">
        <v>230</v>
      </c>
      <c r="C96" s="1" t="s">
        <v>10</v>
      </c>
      <c r="D96" s="1">
        <v>3</v>
      </c>
      <c r="E96" s="1" t="s">
        <v>33</v>
      </c>
      <c r="G96" s="1" t="s">
        <v>80</v>
      </c>
    </row>
    <row r="97" spans="1:7" x14ac:dyDescent="0.25">
      <c r="A97" s="8" t="s">
        <v>231</v>
      </c>
      <c r="B97" s="1" t="s">
        <v>232</v>
      </c>
      <c r="C97" s="1" t="s">
        <v>7</v>
      </c>
      <c r="E97" s="1" t="s">
        <v>8</v>
      </c>
      <c r="G97" s="1" t="s">
        <v>69</v>
      </c>
    </row>
    <row r="98" spans="1:7" x14ac:dyDescent="0.25">
      <c r="A98" s="8" t="s">
        <v>135</v>
      </c>
      <c r="B98" s="1" t="s">
        <v>233</v>
      </c>
      <c r="C98" s="1" t="s">
        <v>10</v>
      </c>
      <c r="D98" s="1">
        <v>3</v>
      </c>
      <c r="E98" s="1" t="s">
        <v>8</v>
      </c>
      <c r="G98" s="1" t="s">
        <v>80</v>
      </c>
    </row>
    <row r="99" spans="1:7" x14ac:dyDescent="0.25">
      <c r="A99" s="8" t="s">
        <v>234</v>
      </c>
      <c r="B99" s="1" t="s">
        <v>235</v>
      </c>
      <c r="C99" s="1" t="s">
        <v>7</v>
      </c>
      <c r="E99" s="1" t="s">
        <v>33</v>
      </c>
      <c r="G99" s="1" t="s">
        <v>236</v>
      </c>
    </row>
    <row r="100" spans="1:7" x14ac:dyDescent="0.25">
      <c r="A100" s="8" t="s">
        <v>172</v>
      </c>
      <c r="B100" s="1" t="s">
        <v>237</v>
      </c>
      <c r="C100" s="1" t="s">
        <v>11</v>
      </c>
      <c r="D100" s="1">
        <v>1</v>
      </c>
      <c r="E100" s="1" t="s">
        <v>33</v>
      </c>
      <c r="G100" s="1" t="s">
        <v>186</v>
      </c>
    </row>
    <row r="101" spans="1:7" x14ac:dyDescent="0.25">
      <c r="A101" s="8" t="s">
        <v>238</v>
      </c>
      <c r="B101" s="1" t="s">
        <v>239</v>
      </c>
      <c r="C101" s="1" t="s">
        <v>12</v>
      </c>
      <c r="E101" s="1" t="s">
        <v>8</v>
      </c>
      <c r="G101" s="1" t="s">
        <v>41</v>
      </c>
    </row>
    <row r="102" spans="1:7" x14ac:dyDescent="0.25">
      <c r="A102" s="8" t="s">
        <v>240</v>
      </c>
      <c r="B102" s="1" t="s">
        <v>241</v>
      </c>
      <c r="C102" s="1" t="s">
        <v>11</v>
      </c>
      <c r="D102" s="1">
        <v>4</v>
      </c>
      <c r="E102" s="1" t="s">
        <v>8</v>
      </c>
      <c r="G102" s="1" t="s">
        <v>78</v>
      </c>
    </row>
    <row r="103" spans="1:7" x14ac:dyDescent="0.25">
      <c r="A103" s="8" t="s">
        <v>135</v>
      </c>
      <c r="B103" s="1" t="s">
        <v>242</v>
      </c>
      <c r="C103" s="1" t="s">
        <v>9</v>
      </c>
      <c r="D103" s="1">
        <v>4</v>
      </c>
      <c r="E103" s="1" t="s">
        <v>8</v>
      </c>
      <c r="G103" s="1" t="s">
        <v>115</v>
      </c>
    </row>
    <row r="104" spans="1:7" x14ac:dyDescent="0.25">
      <c r="A104" s="8" t="s">
        <v>243</v>
      </c>
      <c r="B104" s="1" t="s">
        <v>244</v>
      </c>
      <c r="C104" s="1" t="s">
        <v>9</v>
      </c>
      <c r="D104" s="1">
        <v>1</v>
      </c>
      <c r="E104" s="1" t="s">
        <v>33</v>
      </c>
      <c r="G104" s="1" t="s">
        <v>174</v>
      </c>
    </row>
    <row r="105" spans="1:7" x14ac:dyDescent="0.25">
      <c r="A105" s="8" t="s">
        <v>101</v>
      </c>
      <c r="B105" s="1" t="s">
        <v>245</v>
      </c>
      <c r="C105" s="1" t="s">
        <v>7</v>
      </c>
      <c r="E105" s="1" t="s">
        <v>8</v>
      </c>
      <c r="G105" s="1" t="s">
        <v>58</v>
      </c>
    </row>
    <row r="106" spans="1:7" x14ac:dyDescent="0.25">
      <c r="A106" s="8" t="s">
        <v>81</v>
      </c>
      <c r="B106" s="1" t="s">
        <v>246</v>
      </c>
      <c r="C106" s="1" t="s">
        <v>11</v>
      </c>
      <c r="D106" s="1">
        <v>3</v>
      </c>
      <c r="E106" s="1" t="s">
        <v>8</v>
      </c>
      <c r="G106" s="1" t="s">
        <v>97</v>
      </c>
    </row>
    <row r="107" spans="1:7" x14ac:dyDescent="0.25">
      <c r="A107" s="8" t="s">
        <v>215</v>
      </c>
      <c r="B107" s="1" t="s">
        <v>247</v>
      </c>
      <c r="C107" s="1" t="s">
        <v>12</v>
      </c>
      <c r="E107" s="1" t="s">
        <v>33</v>
      </c>
      <c r="G107" s="1" t="s">
        <v>248</v>
      </c>
    </row>
    <row r="108" spans="1:7" x14ac:dyDescent="0.25">
      <c r="A108" s="8" t="s">
        <v>217</v>
      </c>
      <c r="B108" s="1" t="s">
        <v>249</v>
      </c>
      <c r="C108" s="1" t="s">
        <v>7</v>
      </c>
      <c r="E108" s="1" t="s">
        <v>33</v>
      </c>
      <c r="G108" s="1" t="s">
        <v>83</v>
      </c>
    </row>
    <row r="109" spans="1:7" x14ac:dyDescent="0.25">
      <c r="A109" s="8" t="s">
        <v>152</v>
      </c>
      <c r="B109" s="1" t="s">
        <v>250</v>
      </c>
      <c r="C109" s="1" t="s">
        <v>11</v>
      </c>
      <c r="D109" s="1">
        <v>3</v>
      </c>
      <c r="E109" s="1" t="s">
        <v>8</v>
      </c>
      <c r="G109" s="1" t="s">
        <v>113</v>
      </c>
    </row>
    <row r="110" spans="1:7" x14ac:dyDescent="0.25">
      <c r="A110" s="8" t="s">
        <v>238</v>
      </c>
      <c r="B110" s="1" t="s">
        <v>251</v>
      </c>
      <c r="C110" s="1" t="s">
        <v>11</v>
      </c>
      <c r="D110" s="1">
        <v>2</v>
      </c>
      <c r="E110" s="1" t="s">
        <v>33</v>
      </c>
      <c r="G110" s="1" t="s">
        <v>103</v>
      </c>
    </row>
    <row r="111" spans="1:7" x14ac:dyDescent="0.25">
      <c r="A111" s="8" t="s">
        <v>157</v>
      </c>
      <c r="B111" s="1" t="s">
        <v>252</v>
      </c>
      <c r="C111" s="1" t="s">
        <v>12</v>
      </c>
      <c r="E111" s="1" t="s">
        <v>33</v>
      </c>
      <c r="G111" s="1" t="s">
        <v>128</v>
      </c>
    </row>
    <row r="112" spans="1:7" x14ac:dyDescent="0.25">
      <c r="A112" s="8" t="s">
        <v>253</v>
      </c>
      <c r="B112" s="1" t="s">
        <v>254</v>
      </c>
      <c r="C112" s="1" t="s">
        <v>7</v>
      </c>
      <c r="E112" s="1" t="s">
        <v>33</v>
      </c>
      <c r="G112" s="1" t="s">
        <v>116</v>
      </c>
    </row>
    <row r="113" spans="1:7" x14ac:dyDescent="0.25">
      <c r="A113" s="8" t="s">
        <v>178</v>
      </c>
      <c r="B113" s="1" t="s">
        <v>255</v>
      </c>
      <c r="C113" s="1" t="s">
        <v>11</v>
      </c>
      <c r="D113" s="1">
        <v>1</v>
      </c>
      <c r="E113" s="1" t="s">
        <v>33</v>
      </c>
      <c r="G113" s="1" t="s">
        <v>186</v>
      </c>
    </row>
    <row r="114" spans="1:7" x14ac:dyDescent="0.25">
      <c r="A114" s="8" t="s">
        <v>213</v>
      </c>
      <c r="B114" s="1" t="s">
        <v>256</v>
      </c>
      <c r="C114" s="1" t="s">
        <v>10</v>
      </c>
      <c r="D114" s="1">
        <v>2</v>
      </c>
      <c r="E114" s="1" t="s">
        <v>33</v>
      </c>
      <c r="G114" s="1" t="s">
        <v>156</v>
      </c>
    </row>
    <row r="115" spans="1:7" x14ac:dyDescent="0.25">
      <c r="A115" s="8" t="s">
        <v>131</v>
      </c>
      <c r="B115" s="1" t="s">
        <v>257</v>
      </c>
      <c r="C115" s="1" t="s">
        <v>12</v>
      </c>
      <c r="E115" s="1" t="s">
        <v>33</v>
      </c>
      <c r="G115" s="1" t="s">
        <v>111</v>
      </c>
    </row>
    <row r="116" spans="1:7" x14ac:dyDescent="0.25">
      <c r="A116" s="8" t="s">
        <v>258</v>
      </c>
      <c r="B116" s="1" t="s">
        <v>259</v>
      </c>
      <c r="C116" s="1" t="s">
        <v>10</v>
      </c>
      <c r="D116" s="1">
        <v>2</v>
      </c>
      <c r="E116" s="1" t="s">
        <v>33</v>
      </c>
      <c r="G116" s="1" t="s">
        <v>105</v>
      </c>
    </row>
    <row r="117" spans="1:7" x14ac:dyDescent="0.25">
      <c r="A117" s="8" t="s">
        <v>260</v>
      </c>
      <c r="B117" s="1" t="s">
        <v>261</v>
      </c>
      <c r="C117" s="1" t="s">
        <v>12</v>
      </c>
      <c r="E117" s="1" t="s">
        <v>33</v>
      </c>
      <c r="G117" s="1" t="s">
        <v>248</v>
      </c>
    </row>
    <row r="118" spans="1:7" x14ac:dyDescent="0.25">
      <c r="A118" s="8" t="s">
        <v>262</v>
      </c>
      <c r="B118" s="1" t="s">
        <v>263</v>
      </c>
      <c r="C118" s="1" t="s">
        <v>12</v>
      </c>
      <c r="E118" s="1" t="s">
        <v>33</v>
      </c>
      <c r="G118" s="1" t="s">
        <v>117</v>
      </c>
    </row>
    <row r="119" spans="1:7" x14ac:dyDescent="0.25">
      <c r="A119" s="8" t="s">
        <v>120</v>
      </c>
      <c r="B119" s="1" t="s">
        <v>264</v>
      </c>
      <c r="C119" s="1" t="s">
        <v>12</v>
      </c>
      <c r="E119" s="1" t="s">
        <v>8</v>
      </c>
      <c r="G119" s="1" t="s">
        <v>161</v>
      </c>
    </row>
    <row r="120" spans="1:7" x14ac:dyDescent="0.25">
      <c r="A120" s="8" t="s">
        <v>265</v>
      </c>
      <c r="B120" s="1" t="s">
        <v>266</v>
      </c>
      <c r="C120" s="1" t="s">
        <v>7</v>
      </c>
      <c r="E120" s="1" t="s">
        <v>33</v>
      </c>
      <c r="G120" s="1" t="s">
        <v>236</v>
      </c>
    </row>
    <row r="121" spans="1:7" x14ac:dyDescent="0.25">
      <c r="A121" s="8" t="s">
        <v>238</v>
      </c>
      <c r="B121" s="1" t="s">
        <v>267</v>
      </c>
      <c r="C121" s="1" t="s">
        <v>9</v>
      </c>
      <c r="D121" s="1">
        <v>3</v>
      </c>
      <c r="E121" s="1" t="s">
        <v>8</v>
      </c>
      <c r="G121" s="1" t="s">
        <v>108</v>
      </c>
    </row>
    <row r="122" spans="1:7" x14ac:dyDescent="0.25">
      <c r="A122" s="8" t="s">
        <v>59</v>
      </c>
      <c r="B122" s="1" t="s">
        <v>268</v>
      </c>
      <c r="C122" s="1" t="s">
        <v>10</v>
      </c>
      <c r="D122" s="1">
        <v>4</v>
      </c>
      <c r="E122" s="1" t="s">
        <v>8</v>
      </c>
      <c r="G122" s="1" t="s">
        <v>165</v>
      </c>
    </row>
    <row r="123" spans="1:7" x14ac:dyDescent="0.25">
      <c r="A123" s="8" t="s">
        <v>135</v>
      </c>
      <c r="B123" s="1" t="s">
        <v>269</v>
      </c>
      <c r="C123" s="1" t="s">
        <v>7</v>
      </c>
      <c r="E123" s="1" t="s">
        <v>8</v>
      </c>
      <c r="G123" s="1" t="s">
        <v>75</v>
      </c>
    </row>
    <row r="124" spans="1:7" x14ac:dyDescent="0.25">
      <c r="A124" s="8" t="s">
        <v>270</v>
      </c>
      <c r="B124" s="1" t="s">
        <v>271</v>
      </c>
      <c r="C124" s="1" t="s">
        <v>12</v>
      </c>
      <c r="E124" s="1" t="s">
        <v>33</v>
      </c>
      <c r="G124" s="1" t="s">
        <v>111</v>
      </c>
    </row>
    <row r="125" spans="1:7" x14ac:dyDescent="0.25">
      <c r="A125" s="8" t="s">
        <v>98</v>
      </c>
      <c r="B125" s="1" t="s">
        <v>272</v>
      </c>
      <c r="C125" s="1" t="s">
        <v>11</v>
      </c>
      <c r="D125" s="1">
        <v>4</v>
      </c>
      <c r="E125" s="1" t="s">
        <v>8</v>
      </c>
      <c r="G125" s="1" t="s">
        <v>78</v>
      </c>
    </row>
    <row r="126" spans="1:7" x14ac:dyDescent="0.25">
      <c r="A126" s="8" t="s">
        <v>175</v>
      </c>
      <c r="B126" s="1" t="s">
        <v>273</v>
      </c>
      <c r="C126" s="1" t="s">
        <v>9</v>
      </c>
      <c r="D126" s="1">
        <v>4</v>
      </c>
      <c r="E126" s="1" t="s">
        <v>8</v>
      </c>
      <c r="G126" s="1" t="s">
        <v>224</v>
      </c>
    </row>
    <row r="127" spans="1:7" x14ac:dyDescent="0.25">
      <c r="A127" s="8" t="s">
        <v>168</v>
      </c>
      <c r="B127" s="1" t="s">
        <v>274</v>
      </c>
      <c r="C127" s="1" t="s">
        <v>9</v>
      </c>
      <c r="D127" s="1">
        <v>4</v>
      </c>
      <c r="E127" s="1" t="s">
        <v>8</v>
      </c>
      <c r="G127" s="1" t="s">
        <v>224</v>
      </c>
    </row>
    <row r="128" spans="1:7" x14ac:dyDescent="0.25">
      <c r="A128" s="8" t="s">
        <v>112</v>
      </c>
      <c r="B128" s="1" t="s">
        <v>275</v>
      </c>
      <c r="C128" s="1" t="s">
        <v>7</v>
      </c>
      <c r="E128" s="1" t="s">
        <v>8</v>
      </c>
      <c r="G128" s="1" t="s">
        <v>83</v>
      </c>
    </row>
    <row r="129" spans="1:7" x14ac:dyDescent="0.25">
      <c r="A129" s="8" t="s">
        <v>104</v>
      </c>
      <c r="B129" s="1" t="s">
        <v>276</v>
      </c>
      <c r="C129" s="1" t="s">
        <v>7</v>
      </c>
      <c r="E129" s="1" t="s">
        <v>8</v>
      </c>
      <c r="G129" s="1" t="s">
        <v>75</v>
      </c>
    </row>
    <row r="130" spans="1:7" x14ac:dyDescent="0.25">
      <c r="A130" s="8" t="s">
        <v>277</v>
      </c>
      <c r="B130" s="1" t="s">
        <v>278</v>
      </c>
      <c r="C130" s="1" t="s">
        <v>11</v>
      </c>
      <c r="D130" s="1">
        <v>1</v>
      </c>
      <c r="E130" s="1" t="s">
        <v>33</v>
      </c>
      <c r="G130" s="1" t="s">
        <v>171</v>
      </c>
    </row>
    <row r="131" spans="1:7" x14ac:dyDescent="0.25">
      <c r="A131" s="8" t="s">
        <v>159</v>
      </c>
      <c r="B131" s="1" t="s">
        <v>279</v>
      </c>
      <c r="C131" s="1" t="s">
        <v>10</v>
      </c>
      <c r="D131" s="1">
        <v>3</v>
      </c>
      <c r="E131" s="1" t="s">
        <v>8</v>
      </c>
      <c r="G131" s="1" t="s">
        <v>80</v>
      </c>
    </row>
    <row r="132" spans="1:7" x14ac:dyDescent="0.25">
      <c r="A132" s="8" t="s">
        <v>280</v>
      </c>
      <c r="B132" s="1" t="s">
        <v>281</v>
      </c>
      <c r="C132" s="1" t="s">
        <v>9</v>
      </c>
      <c r="D132" s="1">
        <v>1</v>
      </c>
      <c r="E132" s="1" t="s">
        <v>33</v>
      </c>
      <c r="G132" s="1" t="s">
        <v>282</v>
      </c>
    </row>
    <row r="133" spans="1:7" x14ac:dyDescent="0.25">
      <c r="A133" s="8" t="s">
        <v>81</v>
      </c>
      <c r="B133" s="1" t="s">
        <v>283</v>
      </c>
      <c r="C133" s="1" t="s">
        <v>11</v>
      </c>
      <c r="D133" s="1">
        <v>2</v>
      </c>
      <c r="E133" s="1" t="s">
        <v>33</v>
      </c>
      <c r="G133" s="1" t="s">
        <v>103</v>
      </c>
    </row>
    <row r="134" spans="1:7" x14ac:dyDescent="0.25">
      <c r="A134" s="8" t="s">
        <v>114</v>
      </c>
      <c r="B134" s="1" t="s">
        <v>284</v>
      </c>
      <c r="C134" s="1" t="s">
        <v>10</v>
      </c>
      <c r="D134" s="1">
        <v>1</v>
      </c>
      <c r="E134" s="1" t="s">
        <v>33</v>
      </c>
      <c r="G134" s="1" t="s">
        <v>285</v>
      </c>
    </row>
    <row r="135" spans="1:7" x14ac:dyDescent="0.25">
      <c r="A135" s="8" t="s">
        <v>104</v>
      </c>
      <c r="B135" s="1" t="s">
        <v>286</v>
      </c>
      <c r="C135" s="1" t="s">
        <v>10</v>
      </c>
      <c r="D135" s="1">
        <v>5</v>
      </c>
      <c r="E135" s="1" t="s">
        <v>8</v>
      </c>
      <c r="G135" s="1" t="s">
        <v>148</v>
      </c>
    </row>
    <row r="136" spans="1:7" x14ac:dyDescent="0.25">
      <c r="A136" s="8" t="s">
        <v>260</v>
      </c>
      <c r="B136" s="1" t="s">
        <v>287</v>
      </c>
      <c r="C136" s="1" t="s">
        <v>12</v>
      </c>
      <c r="E136" s="1" t="s">
        <v>8</v>
      </c>
      <c r="G136" s="1" t="s">
        <v>117</v>
      </c>
    </row>
    <row r="137" spans="1:7" x14ac:dyDescent="0.25">
      <c r="A137" s="8" t="s">
        <v>131</v>
      </c>
      <c r="B137" s="1" t="s">
        <v>288</v>
      </c>
      <c r="C137" s="1" t="s">
        <v>7</v>
      </c>
      <c r="E137" s="1" t="s">
        <v>33</v>
      </c>
      <c r="G137" s="1" t="s">
        <v>134</v>
      </c>
    </row>
    <row r="138" spans="1:7" x14ac:dyDescent="0.25">
      <c r="A138" s="8" t="s">
        <v>84</v>
      </c>
      <c r="B138" s="1" t="s">
        <v>289</v>
      </c>
      <c r="C138" s="1" t="s">
        <v>9</v>
      </c>
      <c r="D138" s="1">
        <v>2</v>
      </c>
      <c r="E138" s="1" t="s">
        <v>33</v>
      </c>
      <c r="G138" s="1" t="s">
        <v>125</v>
      </c>
    </row>
    <row r="139" spans="1:7" x14ac:dyDescent="0.25">
      <c r="A139" s="8" t="s">
        <v>101</v>
      </c>
      <c r="B139" s="1" t="s">
        <v>290</v>
      </c>
      <c r="C139" s="1" t="s">
        <v>9</v>
      </c>
      <c r="D139" s="1">
        <v>2</v>
      </c>
      <c r="E139" s="1" t="s">
        <v>33</v>
      </c>
      <c r="G139" s="1" t="s">
        <v>66</v>
      </c>
    </row>
    <row r="140" spans="1:7" x14ac:dyDescent="0.25">
      <c r="A140" s="8" t="s">
        <v>215</v>
      </c>
      <c r="B140" s="1" t="s">
        <v>291</v>
      </c>
      <c r="C140" s="1" t="s">
        <v>9</v>
      </c>
      <c r="D140" s="1">
        <v>4</v>
      </c>
      <c r="E140" s="1" t="s">
        <v>8</v>
      </c>
      <c r="G140" s="1" t="s">
        <v>224</v>
      </c>
    </row>
    <row r="141" spans="1:7" x14ac:dyDescent="0.25">
      <c r="A141" s="8" t="s">
        <v>280</v>
      </c>
      <c r="B141" s="1" t="s">
        <v>292</v>
      </c>
      <c r="C141" s="1" t="s">
        <v>7</v>
      </c>
      <c r="E141" s="1" t="s">
        <v>8</v>
      </c>
      <c r="G141" s="1" t="s">
        <v>69</v>
      </c>
    </row>
    <row r="142" spans="1:7" x14ac:dyDescent="0.25">
      <c r="A142" s="8" t="s">
        <v>293</v>
      </c>
      <c r="B142" s="1" t="s">
        <v>294</v>
      </c>
      <c r="C142" s="1" t="s">
        <v>11</v>
      </c>
      <c r="D142" s="1">
        <v>2</v>
      </c>
      <c r="E142" s="1" t="s">
        <v>33</v>
      </c>
      <c r="G142" s="1" t="s">
        <v>145</v>
      </c>
    </row>
    <row r="143" spans="1:7" x14ac:dyDescent="0.25">
      <c r="A143" s="8" t="s">
        <v>295</v>
      </c>
      <c r="B143" s="1" t="s">
        <v>296</v>
      </c>
      <c r="C143" s="1" t="s">
        <v>10</v>
      </c>
      <c r="D143" s="1">
        <v>4</v>
      </c>
      <c r="E143" s="1" t="s">
        <v>8</v>
      </c>
      <c r="G143" s="1" t="s">
        <v>165</v>
      </c>
    </row>
    <row r="144" spans="1:7" x14ac:dyDescent="0.25">
      <c r="A144" s="8" t="s">
        <v>265</v>
      </c>
      <c r="B144" s="1" t="s">
        <v>297</v>
      </c>
      <c r="C144" s="1" t="s">
        <v>12</v>
      </c>
      <c r="E144" s="1" t="s">
        <v>8</v>
      </c>
      <c r="G144" s="1" t="s">
        <v>177</v>
      </c>
    </row>
    <row r="145" spans="1:7" x14ac:dyDescent="0.25">
      <c r="A145" s="8" t="s">
        <v>192</v>
      </c>
      <c r="B145" s="1" t="s">
        <v>298</v>
      </c>
      <c r="C145" s="1" t="s">
        <v>12</v>
      </c>
      <c r="E145" s="1" t="s">
        <v>33</v>
      </c>
      <c r="G145" s="1" t="s">
        <v>299</v>
      </c>
    </row>
    <row r="146" spans="1:7" x14ac:dyDescent="0.25">
      <c r="A146" s="8" t="s">
        <v>118</v>
      </c>
      <c r="B146" s="1" t="s">
        <v>300</v>
      </c>
      <c r="C146" s="1" t="s">
        <v>10</v>
      </c>
      <c r="D146" s="1">
        <v>4</v>
      </c>
      <c r="E146" s="1" t="s">
        <v>8</v>
      </c>
      <c r="G146" s="1" t="s">
        <v>61</v>
      </c>
    </row>
    <row r="147" spans="1:7" x14ac:dyDescent="0.25">
      <c r="A147" s="8" t="s">
        <v>301</v>
      </c>
      <c r="B147" s="1" t="s">
        <v>302</v>
      </c>
      <c r="C147" s="1" t="s">
        <v>10</v>
      </c>
      <c r="D147" s="1">
        <v>2</v>
      </c>
      <c r="E147" s="1" t="s">
        <v>33</v>
      </c>
      <c r="G147" s="1" t="s">
        <v>105</v>
      </c>
    </row>
    <row r="148" spans="1:7" x14ac:dyDescent="0.25">
      <c r="A148" s="8" t="s">
        <v>201</v>
      </c>
      <c r="B148" s="1" t="s">
        <v>303</v>
      </c>
      <c r="C148" s="1" t="s">
        <v>10</v>
      </c>
      <c r="D148" s="1">
        <v>5</v>
      </c>
      <c r="E148" s="1" t="s">
        <v>8</v>
      </c>
      <c r="G148" s="1" t="s">
        <v>148</v>
      </c>
    </row>
    <row r="149" spans="1:7" x14ac:dyDescent="0.25">
      <c r="A149" s="8" t="s">
        <v>67</v>
      </c>
      <c r="B149" s="1" t="s">
        <v>304</v>
      </c>
      <c r="C149" s="1" t="s">
        <v>10</v>
      </c>
      <c r="D149" s="1">
        <v>2</v>
      </c>
      <c r="E149" s="1" t="s">
        <v>33</v>
      </c>
      <c r="G149" s="1" t="s">
        <v>156</v>
      </c>
    </row>
    <row r="150" spans="1:7" x14ac:dyDescent="0.25">
      <c r="A150" s="8" t="s">
        <v>293</v>
      </c>
      <c r="B150" s="1" t="s">
        <v>305</v>
      </c>
      <c r="C150" s="1" t="s">
        <v>10</v>
      </c>
      <c r="D150" s="1">
        <v>2</v>
      </c>
      <c r="E150" s="1" t="s">
        <v>33</v>
      </c>
      <c r="G150" s="1" t="s">
        <v>156</v>
      </c>
    </row>
    <row r="151" spans="1:7" x14ac:dyDescent="0.25">
      <c r="A151" s="8" t="s">
        <v>306</v>
      </c>
      <c r="B151" s="1" t="s">
        <v>307</v>
      </c>
      <c r="C151" s="1" t="s">
        <v>11</v>
      </c>
      <c r="D151" s="1">
        <v>4</v>
      </c>
      <c r="E151" s="1" t="s">
        <v>8</v>
      </c>
      <c r="G151" s="1" t="s">
        <v>229</v>
      </c>
    </row>
    <row r="152" spans="1:7" x14ac:dyDescent="0.25">
      <c r="A152" s="8" t="s">
        <v>175</v>
      </c>
      <c r="B152" s="1" t="s">
        <v>308</v>
      </c>
      <c r="C152" s="1" t="s">
        <v>10</v>
      </c>
      <c r="D152" s="1">
        <v>3</v>
      </c>
      <c r="E152" s="1" t="s">
        <v>8</v>
      </c>
      <c r="G152" s="1" t="s">
        <v>80</v>
      </c>
    </row>
    <row r="153" spans="1:7" x14ac:dyDescent="0.25">
      <c r="A153" s="8" t="s">
        <v>159</v>
      </c>
      <c r="B153" s="1" t="s">
        <v>309</v>
      </c>
      <c r="C153" s="1" t="s">
        <v>11</v>
      </c>
      <c r="D153" s="1">
        <v>1</v>
      </c>
      <c r="E153" s="1" t="s">
        <v>33</v>
      </c>
      <c r="G153" s="1" t="s">
        <v>171</v>
      </c>
    </row>
    <row r="154" spans="1:7" x14ac:dyDescent="0.25">
      <c r="A154" s="8" t="s">
        <v>262</v>
      </c>
      <c r="B154" s="1" t="s">
        <v>310</v>
      </c>
      <c r="C154" s="1" t="s">
        <v>11</v>
      </c>
      <c r="D154" s="1">
        <v>1</v>
      </c>
      <c r="E154" s="1" t="s">
        <v>33</v>
      </c>
      <c r="G154" s="1" t="s">
        <v>186</v>
      </c>
    </row>
    <row r="155" spans="1:7" x14ac:dyDescent="0.25">
      <c r="A155" s="8" t="s">
        <v>295</v>
      </c>
      <c r="B155" s="1" t="s">
        <v>311</v>
      </c>
      <c r="C155" s="1" t="s">
        <v>11</v>
      </c>
      <c r="D155" s="1">
        <v>2</v>
      </c>
      <c r="E155" s="1" t="s">
        <v>33</v>
      </c>
      <c r="G155" s="1" t="s">
        <v>103</v>
      </c>
    </row>
    <row r="156" spans="1:7" x14ac:dyDescent="0.25">
      <c r="A156" s="8" t="s">
        <v>87</v>
      </c>
      <c r="B156" s="1" t="s">
        <v>312</v>
      </c>
      <c r="C156" s="1" t="s">
        <v>10</v>
      </c>
      <c r="D156" s="1">
        <v>4</v>
      </c>
      <c r="E156" s="1" t="s">
        <v>8</v>
      </c>
      <c r="G156" s="1" t="s">
        <v>61</v>
      </c>
    </row>
    <row r="157" spans="1:7" x14ac:dyDescent="0.25">
      <c r="A157" s="8" t="s">
        <v>168</v>
      </c>
      <c r="B157" s="1" t="s">
        <v>313</v>
      </c>
      <c r="C157" s="1" t="s">
        <v>11</v>
      </c>
      <c r="D157" s="1">
        <v>3</v>
      </c>
      <c r="E157" s="1" t="s">
        <v>8</v>
      </c>
      <c r="G157" s="1" t="s">
        <v>113</v>
      </c>
    </row>
    <row r="158" spans="1:7" x14ac:dyDescent="0.25">
      <c r="A158" s="8" t="s">
        <v>114</v>
      </c>
      <c r="B158" s="1" t="s">
        <v>314</v>
      </c>
      <c r="C158" s="1" t="s">
        <v>7</v>
      </c>
      <c r="E158" s="1" t="s">
        <v>33</v>
      </c>
      <c r="G158" s="1" t="s">
        <v>75</v>
      </c>
    </row>
    <row r="159" spans="1:7" x14ac:dyDescent="0.25">
      <c r="A159" s="8" t="s">
        <v>149</v>
      </c>
      <c r="B159" s="1" t="s">
        <v>315</v>
      </c>
      <c r="C159" s="1" t="s">
        <v>7</v>
      </c>
      <c r="E159" s="1" t="s">
        <v>8</v>
      </c>
      <c r="G159" s="1" t="s">
        <v>119</v>
      </c>
    </row>
    <row r="160" spans="1:7" x14ac:dyDescent="0.25">
      <c r="A160" s="8" t="s">
        <v>316</v>
      </c>
      <c r="B160" s="1" t="s">
        <v>317</v>
      </c>
      <c r="C160" s="1" t="s">
        <v>12</v>
      </c>
      <c r="E160" s="1" t="s">
        <v>33</v>
      </c>
      <c r="G160" s="1" t="s">
        <v>117</v>
      </c>
    </row>
    <row r="161" spans="1:7" x14ac:dyDescent="0.25">
      <c r="A161" s="8" t="s">
        <v>162</v>
      </c>
      <c r="B161" s="1" t="s">
        <v>318</v>
      </c>
      <c r="C161" s="1" t="s">
        <v>9</v>
      </c>
      <c r="D161" s="1">
        <v>1</v>
      </c>
      <c r="E161" s="1" t="s">
        <v>33</v>
      </c>
      <c r="G161" s="1" t="s">
        <v>174</v>
      </c>
    </row>
    <row r="162" spans="1:7" x14ac:dyDescent="0.25">
      <c r="A162" s="8" t="s">
        <v>102</v>
      </c>
      <c r="B162" s="1" t="s">
        <v>319</v>
      </c>
      <c r="C162" s="1" t="s">
        <v>10</v>
      </c>
      <c r="D162" s="1">
        <v>4</v>
      </c>
      <c r="E162" s="1" t="s">
        <v>8</v>
      </c>
      <c r="G162" s="1" t="s">
        <v>61</v>
      </c>
    </row>
    <row r="163" spans="1:7" x14ac:dyDescent="0.25">
      <c r="A163" s="8" t="s">
        <v>277</v>
      </c>
      <c r="B163" s="1" t="s">
        <v>320</v>
      </c>
      <c r="C163" s="1" t="s">
        <v>10</v>
      </c>
      <c r="D163" s="1">
        <v>4</v>
      </c>
      <c r="E163" s="1" t="s">
        <v>8</v>
      </c>
      <c r="G163" s="1" t="s">
        <v>165</v>
      </c>
    </row>
    <row r="164" spans="1:7" x14ac:dyDescent="0.25">
      <c r="A164" s="8" t="s">
        <v>321</v>
      </c>
      <c r="B164" s="1" t="s">
        <v>322</v>
      </c>
      <c r="C164" s="1" t="s">
        <v>9</v>
      </c>
      <c r="D164" s="1">
        <v>3</v>
      </c>
      <c r="E164" s="1" t="s">
        <v>33</v>
      </c>
      <c r="G164" s="1" t="s">
        <v>108</v>
      </c>
    </row>
    <row r="165" spans="1:7" x14ac:dyDescent="0.25">
      <c r="A165" s="8" t="s">
        <v>178</v>
      </c>
      <c r="B165" s="1" t="s">
        <v>323</v>
      </c>
      <c r="C165" s="1" t="s">
        <v>10</v>
      </c>
      <c r="D165" s="1">
        <v>4</v>
      </c>
      <c r="E165" s="1" t="s">
        <v>8</v>
      </c>
      <c r="G165" s="1" t="s">
        <v>165</v>
      </c>
    </row>
    <row r="166" spans="1:7" x14ac:dyDescent="0.25">
      <c r="A166" s="8" t="s">
        <v>121</v>
      </c>
      <c r="B166" s="1" t="s">
        <v>324</v>
      </c>
      <c r="C166" s="1" t="s">
        <v>10</v>
      </c>
      <c r="D166" s="1">
        <v>4</v>
      </c>
      <c r="E166" s="1" t="s">
        <v>8</v>
      </c>
      <c r="G166" s="1" t="s">
        <v>61</v>
      </c>
    </row>
    <row r="167" spans="1:7" x14ac:dyDescent="0.25">
      <c r="A167" s="8" t="s">
        <v>243</v>
      </c>
      <c r="B167" s="1" t="s">
        <v>325</v>
      </c>
      <c r="C167" s="1" t="s">
        <v>11</v>
      </c>
      <c r="D167" s="1">
        <v>4</v>
      </c>
      <c r="E167" s="1" t="s">
        <v>8</v>
      </c>
      <c r="G167" s="1" t="s">
        <v>229</v>
      </c>
    </row>
    <row r="168" spans="1:7" x14ac:dyDescent="0.25">
      <c r="A168" s="8" t="s">
        <v>258</v>
      </c>
      <c r="B168" s="1" t="s">
        <v>326</v>
      </c>
      <c r="C168" s="1" t="s">
        <v>10</v>
      </c>
      <c r="D168" s="1">
        <v>3</v>
      </c>
      <c r="E168" s="1" t="s">
        <v>8</v>
      </c>
      <c r="G168" s="1" t="s">
        <v>80</v>
      </c>
    </row>
    <row r="169" spans="1:7" x14ac:dyDescent="0.25">
      <c r="A169" s="8" t="s">
        <v>131</v>
      </c>
      <c r="B169" s="1" t="s">
        <v>327</v>
      </c>
      <c r="C169" s="1" t="s">
        <v>7</v>
      </c>
      <c r="E169" s="1" t="s">
        <v>33</v>
      </c>
      <c r="G169" s="1" t="s">
        <v>116</v>
      </c>
    </row>
    <row r="170" spans="1:7" x14ac:dyDescent="0.25">
      <c r="A170" s="8" t="s">
        <v>205</v>
      </c>
      <c r="B170" s="1" t="s">
        <v>328</v>
      </c>
      <c r="C170" s="1" t="s">
        <v>10</v>
      </c>
      <c r="D170" s="1">
        <v>2</v>
      </c>
      <c r="E170" s="1" t="s">
        <v>33</v>
      </c>
      <c r="G170" s="1" t="s">
        <v>105</v>
      </c>
    </row>
    <row r="171" spans="1:7" x14ac:dyDescent="0.25">
      <c r="A171" s="8" t="s">
        <v>122</v>
      </c>
      <c r="B171" s="1" t="s">
        <v>329</v>
      </c>
      <c r="C171" s="1" t="s">
        <v>9</v>
      </c>
      <c r="D171" s="1">
        <v>5</v>
      </c>
      <c r="E171" s="1" t="s">
        <v>8</v>
      </c>
      <c r="G171" s="1" t="s">
        <v>96</v>
      </c>
    </row>
    <row r="172" spans="1:7" x14ac:dyDescent="0.25">
      <c r="A172" s="8" t="s">
        <v>330</v>
      </c>
      <c r="B172" s="1" t="s">
        <v>331</v>
      </c>
      <c r="C172" s="1" t="s">
        <v>12</v>
      </c>
      <c r="E172" s="1" t="s">
        <v>8</v>
      </c>
      <c r="G172" s="1" t="s">
        <v>161</v>
      </c>
    </row>
    <row r="173" spans="1:7" x14ac:dyDescent="0.25">
      <c r="A173" s="8" t="s">
        <v>240</v>
      </c>
      <c r="B173" s="1" t="s">
        <v>332</v>
      </c>
      <c r="C173" s="1" t="s">
        <v>9</v>
      </c>
      <c r="D173" s="1">
        <v>5</v>
      </c>
      <c r="E173" s="1" t="s">
        <v>8</v>
      </c>
      <c r="G173" s="1" t="s">
        <v>167</v>
      </c>
    </row>
    <row r="174" spans="1:7" x14ac:dyDescent="0.25">
      <c r="A174" s="8" t="s">
        <v>89</v>
      </c>
      <c r="B174" s="1" t="s">
        <v>333</v>
      </c>
      <c r="C174" s="1" t="s">
        <v>11</v>
      </c>
      <c r="D174" s="1">
        <v>5</v>
      </c>
      <c r="E174" s="1" t="s">
        <v>8</v>
      </c>
      <c r="G174" s="1" t="s">
        <v>137</v>
      </c>
    </row>
    <row r="175" spans="1:7" x14ac:dyDescent="0.25">
      <c r="A175" s="8" t="s">
        <v>334</v>
      </c>
      <c r="B175" s="1" t="s">
        <v>335</v>
      </c>
      <c r="C175" s="1" t="s">
        <v>11</v>
      </c>
      <c r="D175" s="1">
        <v>5</v>
      </c>
      <c r="E175" s="1" t="s">
        <v>8</v>
      </c>
      <c r="G175" s="1" t="s">
        <v>107</v>
      </c>
    </row>
    <row r="176" spans="1:7" x14ac:dyDescent="0.25">
      <c r="A176" s="8" t="s">
        <v>336</v>
      </c>
      <c r="B176" s="1" t="s">
        <v>337</v>
      </c>
      <c r="C176" s="1" t="s">
        <v>11</v>
      </c>
      <c r="D176" s="1">
        <v>2</v>
      </c>
      <c r="E176" s="1" t="s">
        <v>33</v>
      </c>
      <c r="G176" s="1" t="s">
        <v>145</v>
      </c>
    </row>
    <row r="177" spans="1:7" x14ac:dyDescent="0.25">
      <c r="A177" s="8" t="s">
        <v>265</v>
      </c>
      <c r="B177" s="1" t="s">
        <v>338</v>
      </c>
      <c r="C177" s="1" t="s">
        <v>7</v>
      </c>
      <c r="E177" s="1" t="s">
        <v>33</v>
      </c>
      <c r="G177" s="1" t="s">
        <v>134</v>
      </c>
    </row>
    <row r="178" spans="1:7" x14ac:dyDescent="0.25">
      <c r="A178" s="8" t="s">
        <v>104</v>
      </c>
      <c r="B178" s="1" t="s">
        <v>339</v>
      </c>
      <c r="C178" s="1" t="s">
        <v>10</v>
      </c>
      <c r="D178" s="1">
        <v>4</v>
      </c>
      <c r="E178" s="1" t="s">
        <v>8</v>
      </c>
      <c r="G178" s="1" t="s">
        <v>165</v>
      </c>
    </row>
    <row r="179" spans="1:7" x14ac:dyDescent="0.25">
      <c r="A179" s="8" t="s">
        <v>192</v>
      </c>
      <c r="B179" s="1" t="s">
        <v>340</v>
      </c>
      <c r="C179" s="1" t="s">
        <v>10</v>
      </c>
      <c r="D179" s="1">
        <v>1</v>
      </c>
      <c r="E179" s="1" t="s">
        <v>33</v>
      </c>
      <c r="G179" s="1" t="s">
        <v>285</v>
      </c>
    </row>
    <row r="180" spans="1:7" x14ac:dyDescent="0.25">
      <c r="A180" s="8" t="s">
        <v>217</v>
      </c>
      <c r="B180" s="1" t="s">
        <v>341</v>
      </c>
      <c r="C180" s="1" t="s">
        <v>11</v>
      </c>
      <c r="D180" s="1">
        <v>4</v>
      </c>
      <c r="E180" s="1" t="s">
        <v>8</v>
      </c>
      <c r="G180" s="1" t="s">
        <v>78</v>
      </c>
    </row>
    <row r="181" spans="1:7" x14ac:dyDescent="0.25">
      <c r="A181" s="8" t="s">
        <v>342</v>
      </c>
      <c r="B181" s="1" t="s">
        <v>343</v>
      </c>
      <c r="C181" s="1" t="s">
        <v>7</v>
      </c>
      <c r="E181" s="1" t="s">
        <v>33</v>
      </c>
      <c r="G181" s="1" t="s">
        <v>236</v>
      </c>
    </row>
    <row r="182" spans="1:7" x14ac:dyDescent="0.25">
      <c r="A182" s="8" t="s">
        <v>344</v>
      </c>
      <c r="B182" s="1" t="s">
        <v>345</v>
      </c>
      <c r="C182" s="1" t="s">
        <v>10</v>
      </c>
      <c r="D182" s="1">
        <v>3</v>
      </c>
      <c r="E182" s="1" t="s">
        <v>33</v>
      </c>
      <c r="G182" s="1" t="s">
        <v>80</v>
      </c>
    </row>
    <row r="183" spans="1:7" x14ac:dyDescent="0.25">
      <c r="A183" s="8" t="s">
        <v>346</v>
      </c>
      <c r="B183" s="1" t="s">
        <v>347</v>
      </c>
      <c r="C183" s="1" t="s">
        <v>7</v>
      </c>
      <c r="E183" s="1" t="s">
        <v>8</v>
      </c>
      <c r="G183" s="1" t="s">
        <v>119</v>
      </c>
    </row>
    <row r="184" spans="1:7" x14ac:dyDescent="0.25">
      <c r="A184" s="8" t="s">
        <v>106</v>
      </c>
      <c r="B184" s="1" t="s">
        <v>348</v>
      </c>
      <c r="C184" s="1" t="s">
        <v>10</v>
      </c>
      <c r="D184" s="1">
        <v>5</v>
      </c>
      <c r="E184" s="1" t="s">
        <v>8</v>
      </c>
      <c r="G184" s="1" t="s">
        <v>148</v>
      </c>
    </row>
    <row r="185" spans="1:7" x14ac:dyDescent="0.25">
      <c r="A185" s="8" t="s">
        <v>258</v>
      </c>
      <c r="B185" s="1" t="s">
        <v>349</v>
      </c>
      <c r="C185" s="1" t="s">
        <v>9</v>
      </c>
      <c r="D185" s="1">
        <v>5</v>
      </c>
      <c r="E185" s="1" t="s">
        <v>8</v>
      </c>
      <c r="G185" s="1" t="s">
        <v>167</v>
      </c>
    </row>
    <row r="186" spans="1:7" x14ac:dyDescent="0.25">
      <c r="A186" s="8" t="s">
        <v>121</v>
      </c>
      <c r="B186" s="1" t="s">
        <v>350</v>
      </c>
      <c r="C186" s="1" t="s">
        <v>7</v>
      </c>
      <c r="E186" s="1" t="s">
        <v>33</v>
      </c>
      <c r="G186" s="1" t="s">
        <v>134</v>
      </c>
    </row>
    <row r="187" spans="1:7" x14ac:dyDescent="0.25">
      <c r="A187" s="8" t="s">
        <v>104</v>
      </c>
      <c r="B187" s="1" t="s">
        <v>351</v>
      </c>
      <c r="C187" s="1" t="s">
        <v>10</v>
      </c>
      <c r="D187" s="1">
        <v>4</v>
      </c>
      <c r="E187" s="1" t="s">
        <v>8</v>
      </c>
      <c r="G187" s="1" t="s">
        <v>165</v>
      </c>
    </row>
    <row r="188" spans="1:7" x14ac:dyDescent="0.25">
      <c r="A188" s="8" t="s">
        <v>334</v>
      </c>
      <c r="B188" s="1" t="s">
        <v>352</v>
      </c>
      <c r="C188" s="1" t="s">
        <v>12</v>
      </c>
      <c r="E188" s="1" t="s">
        <v>33</v>
      </c>
      <c r="G188" s="1" t="s">
        <v>128</v>
      </c>
    </row>
    <row r="189" spans="1:7" x14ac:dyDescent="0.25">
      <c r="A189" s="8" t="s">
        <v>258</v>
      </c>
      <c r="B189" s="1" t="s">
        <v>353</v>
      </c>
      <c r="C189" s="1" t="s">
        <v>9</v>
      </c>
      <c r="D189" s="1">
        <v>4</v>
      </c>
      <c r="E189" s="1" t="s">
        <v>8</v>
      </c>
      <c r="G189" s="1" t="s">
        <v>115</v>
      </c>
    </row>
    <row r="190" spans="1:7" x14ac:dyDescent="0.25">
      <c r="A190" s="8" t="s">
        <v>100</v>
      </c>
      <c r="B190" s="1" t="s">
        <v>354</v>
      </c>
      <c r="C190" s="1" t="s">
        <v>9</v>
      </c>
      <c r="D190" s="1">
        <v>4</v>
      </c>
      <c r="E190" s="1" t="s">
        <v>8</v>
      </c>
      <c r="G190" s="1" t="s">
        <v>115</v>
      </c>
    </row>
    <row r="191" spans="1:7" x14ac:dyDescent="0.25">
      <c r="A191" s="8" t="s">
        <v>265</v>
      </c>
      <c r="B191" s="1" t="s">
        <v>355</v>
      </c>
      <c r="C191" s="1" t="s">
        <v>7</v>
      </c>
      <c r="E191" s="1" t="s">
        <v>33</v>
      </c>
      <c r="G191" s="1" t="s">
        <v>83</v>
      </c>
    </row>
    <row r="192" spans="1:7" x14ac:dyDescent="0.25">
      <c r="A192" s="8" t="s">
        <v>120</v>
      </c>
      <c r="B192" s="1" t="s">
        <v>356</v>
      </c>
      <c r="C192" s="1" t="s">
        <v>10</v>
      </c>
      <c r="D192" s="1">
        <v>5</v>
      </c>
      <c r="E192" s="1" t="s">
        <v>8</v>
      </c>
      <c r="G192" s="1" t="s">
        <v>86</v>
      </c>
    </row>
    <row r="193" spans="1:7" x14ac:dyDescent="0.25">
      <c r="A193" s="8" t="s">
        <v>121</v>
      </c>
      <c r="B193" s="1" t="s">
        <v>357</v>
      </c>
      <c r="C193" s="1" t="s">
        <v>7</v>
      </c>
      <c r="E193" s="1" t="s">
        <v>8</v>
      </c>
      <c r="G193" s="1" t="s">
        <v>119</v>
      </c>
    </row>
    <row r="194" spans="1:7" x14ac:dyDescent="0.25">
      <c r="A194" s="8" t="s">
        <v>64</v>
      </c>
      <c r="B194" s="1" t="s">
        <v>358</v>
      </c>
      <c r="C194" s="1" t="s">
        <v>7</v>
      </c>
      <c r="E194" s="1" t="s">
        <v>8</v>
      </c>
      <c r="G194" s="1" t="s">
        <v>69</v>
      </c>
    </row>
    <row r="195" spans="1:7" x14ac:dyDescent="0.25">
      <c r="A195" s="8" t="s">
        <v>334</v>
      </c>
      <c r="B195" s="1" t="s">
        <v>359</v>
      </c>
      <c r="C195" s="1" t="s">
        <v>12</v>
      </c>
      <c r="E195" s="1" t="s">
        <v>33</v>
      </c>
      <c r="G195" s="1" t="s">
        <v>117</v>
      </c>
    </row>
    <row r="196" spans="1:7" x14ac:dyDescent="0.25">
      <c r="A196" s="8" t="s">
        <v>280</v>
      </c>
      <c r="B196" s="1" t="s">
        <v>360</v>
      </c>
      <c r="C196" s="1" t="s">
        <v>7</v>
      </c>
      <c r="E196" s="1" t="s">
        <v>8</v>
      </c>
      <c r="G196" s="1" t="s">
        <v>119</v>
      </c>
    </row>
    <row r="197" spans="1:7" x14ac:dyDescent="0.25">
      <c r="A197" s="8" t="s">
        <v>64</v>
      </c>
      <c r="B197" s="1" t="s">
        <v>361</v>
      </c>
      <c r="C197" s="1" t="s">
        <v>12</v>
      </c>
      <c r="E197" s="1" t="s">
        <v>8</v>
      </c>
      <c r="G197" s="1" t="s">
        <v>161</v>
      </c>
    </row>
    <row r="198" spans="1:7" x14ac:dyDescent="0.25">
      <c r="A198" s="8" t="s">
        <v>143</v>
      </c>
      <c r="B198" s="1" t="s">
        <v>362</v>
      </c>
      <c r="C198" s="1" t="s">
        <v>11</v>
      </c>
      <c r="D198" s="1">
        <v>4</v>
      </c>
      <c r="E198" s="1" t="s">
        <v>8</v>
      </c>
      <c r="G198" s="1" t="s">
        <v>229</v>
      </c>
    </row>
    <row r="199" spans="1:7" x14ac:dyDescent="0.25">
      <c r="A199" s="8" t="s">
        <v>207</v>
      </c>
      <c r="B199" s="1" t="s">
        <v>363</v>
      </c>
      <c r="C199" s="1" t="s">
        <v>11</v>
      </c>
      <c r="D199" s="1">
        <v>5</v>
      </c>
      <c r="E199" s="1" t="s">
        <v>8</v>
      </c>
      <c r="G199" s="1" t="s">
        <v>107</v>
      </c>
    </row>
    <row r="200" spans="1:7" x14ac:dyDescent="0.25">
      <c r="A200" s="8" t="s">
        <v>67</v>
      </c>
      <c r="B200" s="1" t="s">
        <v>364</v>
      </c>
      <c r="C200" s="1" t="s">
        <v>10</v>
      </c>
      <c r="D200" s="1">
        <v>1</v>
      </c>
      <c r="E200" s="1" t="s">
        <v>33</v>
      </c>
      <c r="G200" s="1" t="s">
        <v>197</v>
      </c>
    </row>
    <row r="201" spans="1:7" x14ac:dyDescent="0.25">
      <c r="A201" s="8" t="s">
        <v>101</v>
      </c>
      <c r="B201" s="1" t="s">
        <v>365</v>
      </c>
      <c r="C201" s="1" t="s">
        <v>11</v>
      </c>
      <c r="D201" s="1">
        <v>5</v>
      </c>
      <c r="E201" s="1" t="s">
        <v>8</v>
      </c>
      <c r="G201" s="1" t="s">
        <v>107</v>
      </c>
    </row>
    <row r="202" spans="1:7" x14ac:dyDescent="0.25">
      <c r="A202" s="8" t="s">
        <v>234</v>
      </c>
      <c r="B202" s="1" t="s">
        <v>366</v>
      </c>
      <c r="C202" s="1" t="s">
        <v>9</v>
      </c>
      <c r="D202" s="1">
        <v>2</v>
      </c>
      <c r="E202" s="1" t="s">
        <v>33</v>
      </c>
      <c r="G202" s="1" t="s">
        <v>66</v>
      </c>
    </row>
    <row r="203" spans="1:7" x14ac:dyDescent="0.25">
      <c r="A203" s="8" t="s">
        <v>190</v>
      </c>
      <c r="B203" s="1" t="s">
        <v>367</v>
      </c>
      <c r="C203" s="1" t="s">
        <v>11</v>
      </c>
      <c r="D203" s="1">
        <v>1</v>
      </c>
      <c r="E203" s="1" t="s">
        <v>33</v>
      </c>
      <c r="G203" s="1" t="s">
        <v>171</v>
      </c>
    </row>
    <row r="204" spans="1:7" x14ac:dyDescent="0.25">
      <c r="A204" s="8" t="s">
        <v>190</v>
      </c>
      <c r="B204" s="1" t="s">
        <v>368</v>
      </c>
      <c r="C204" s="1" t="s">
        <v>9</v>
      </c>
      <c r="D204" s="1">
        <v>1</v>
      </c>
      <c r="E204" s="1" t="s">
        <v>33</v>
      </c>
      <c r="G204" s="1" t="s">
        <v>282</v>
      </c>
    </row>
    <row r="205" spans="1:7" x14ac:dyDescent="0.25">
      <c r="A205" s="8" t="s">
        <v>192</v>
      </c>
      <c r="B205" s="1" t="s">
        <v>369</v>
      </c>
      <c r="C205" s="1" t="s">
        <v>11</v>
      </c>
      <c r="D205" s="1">
        <v>2</v>
      </c>
      <c r="E205" s="1" t="s">
        <v>33</v>
      </c>
      <c r="G205" s="1" t="s">
        <v>145</v>
      </c>
    </row>
    <row r="206" spans="1:7" x14ac:dyDescent="0.25">
      <c r="A206" s="8" t="s">
        <v>217</v>
      </c>
      <c r="B206" s="1" t="s">
        <v>370</v>
      </c>
      <c r="C206" s="1" t="s">
        <v>7</v>
      </c>
      <c r="E206" s="1" t="s">
        <v>33</v>
      </c>
      <c r="G206" s="1" t="s">
        <v>134</v>
      </c>
    </row>
    <row r="207" spans="1:7" x14ac:dyDescent="0.25">
      <c r="A207" s="8" t="s">
        <v>141</v>
      </c>
      <c r="B207" s="1" t="s">
        <v>371</v>
      </c>
      <c r="C207" s="1" t="s">
        <v>10</v>
      </c>
      <c r="D207" s="1">
        <v>3</v>
      </c>
      <c r="E207" s="1" t="s">
        <v>33</v>
      </c>
      <c r="G207" s="1" t="s">
        <v>80</v>
      </c>
    </row>
    <row r="208" spans="1:7" x14ac:dyDescent="0.25">
      <c r="A208" s="8" t="s">
        <v>98</v>
      </c>
      <c r="B208" s="1" t="s">
        <v>372</v>
      </c>
      <c r="C208" s="1" t="s">
        <v>7</v>
      </c>
      <c r="E208" s="1" t="s">
        <v>8</v>
      </c>
      <c r="G208" s="1" t="s">
        <v>119</v>
      </c>
    </row>
    <row r="209" spans="1:7" x14ac:dyDescent="0.25">
      <c r="A209" s="8" t="s">
        <v>154</v>
      </c>
      <c r="B209" s="1" t="s">
        <v>373</v>
      </c>
      <c r="C209" s="1" t="s">
        <v>9</v>
      </c>
      <c r="D209" s="1">
        <v>3</v>
      </c>
      <c r="E209" s="1" t="s">
        <v>33</v>
      </c>
      <c r="G209" s="1" t="s">
        <v>108</v>
      </c>
    </row>
    <row r="210" spans="1:7" x14ac:dyDescent="0.25">
      <c r="A210" s="8" t="s">
        <v>374</v>
      </c>
      <c r="B210" s="1" t="s">
        <v>375</v>
      </c>
      <c r="C210" s="1" t="s">
        <v>7</v>
      </c>
      <c r="E210" s="1" t="s">
        <v>33</v>
      </c>
      <c r="G210" s="1" t="s">
        <v>116</v>
      </c>
    </row>
    <row r="211" spans="1:7" x14ac:dyDescent="0.25">
      <c r="A211" s="8" t="s">
        <v>172</v>
      </c>
      <c r="B211" s="1" t="s">
        <v>376</v>
      </c>
      <c r="C211" s="1" t="s">
        <v>11</v>
      </c>
      <c r="D211" s="1">
        <v>1</v>
      </c>
      <c r="E211" s="1" t="s">
        <v>33</v>
      </c>
      <c r="G211" s="1" t="s">
        <v>186</v>
      </c>
    </row>
    <row r="212" spans="1:7" x14ac:dyDescent="0.25">
      <c r="A212" s="8" t="s">
        <v>192</v>
      </c>
      <c r="B212" s="1" t="s">
        <v>377</v>
      </c>
      <c r="C212" s="1" t="s">
        <v>9</v>
      </c>
      <c r="D212" s="1">
        <v>1</v>
      </c>
      <c r="E212" s="1" t="s">
        <v>33</v>
      </c>
      <c r="G212" s="1" t="s">
        <v>282</v>
      </c>
    </row>
    <row r="213" spans="1:7" x14ac:dyDescent="0.25">
      <c r="A213" s="8" t="s">
        <v>94</v>
      </c>
      <c r="B213" s="1" t="s">
        <v>378</v>
      </c>
      <c r="C213" s="1" t="s">
        <v>11</v>
      </c>
      <c r="D213" s="1">
        <v>4</v>
      </c>
      <c r="E213" s="1" t="s">
        <v>8</v>
      </c>
      <c r="G213" s="1" t="s">
        <v>78</v>
      </c>
    </row>
    <row r="214" spans="1:7" x14ac:dyDescent="0.25">
      <c r="A214" s="8" t="s">
        <v>178</v>
      </c>
      <c r="B214" s="1" t="s">
        <v>379</v>
      </c>
      <c r="C214" s="1" t="s">
        <v>9</v>
      </c>
      <c r="D214" s="1">
        <v>4</v>
      </c>
      <c r="E214" s="1" t="s">
        <v>8</v>
      </c>
      <c r="G214" s="1" t="s">
        <v>224</v>
      </c>
    </row>
    <row r="215" spans="1:7" x14ac:dyDescent="0.25">
      <c r="A215" s="8" t="s">
        <v>207</v>
      </c>
      <c r="B215" s="1" t="s">
        <v>380</v>
      </c>
      <c r="C215" s="1" t="s">
        <v>11</v>
      </c>
      <c r="D215" s="1">
        <v>3</v>
      </c>
      <c r="E215" s="1" t="s">
        <v>33</v>
      </c>
      <c r="G215" s="1" t="s">
        <v>97</v>
      </c>
    </row>
    <row r="216" spans="1:7" x14ac:dyDescent="0.25">
      <c r="A216" s="8" t="s">
        <v>240</v>
      </c>
      <c r="B216" s="1" t="s">
        <v>381</v>
      </c>
      <c r="C216" s="1" t="s">
        <v>11</v>
      </c>
      <c r="D216" s="1">
        <v>2</v>
      </c>
      <c r="E216" s="1" t="s">
        <v>33</v>
      </c>
      <c r="G216" s="1" t="s">
        <v>103</v>
      </c>
    </row>
    <row r="217" spans="1:7" x14ac:dyDescent="0.25">
      <c r="A217" s="8" t="s">
        <v>316</v>
      </c>
      <c r="B217" s="1" t="s">
        <v>382</v>
      </c>
      <c r="C217" s="1" t="s">
        <v>10</v>
      </c>
      <c r="D217" s="1">
        <v>3</v>
      </c>
      <c r="E217" s="1" t="s">
        <v>8</v>
      </c>
      <c r="G217" s="1" t="s">
        <v>80</v>
      </c>
    </row>
    <row r="218" spans="1:7" x14ac:dyDescent="0.25">
      <c r="A218" s="8" t="s">
        <v>346</v>
      </c>
      <c r="B218" s="1" t="s">
        <v>383</v>
      </c>
      <c r="C218" s="1" t="s">
        <v>7</v>
      </c>
      <c r="E218" s="1" t="s">
        <v>8</v>
      </c>
      <c r="G218" s="1" t="s">
        <v>58</v>
      </c>
    </row>
    <row r="219" spans="1:7" x14ac:dyDescent="0.25">
      <c r="A219" s="8" t="s">
        <v>109</v>
      </c>
      <c r="B219" s="1" t="s">
        <v>384</v>
      </c>
      <c r="C219" s="1" t="s">
        <v>12</v>
      </c>
      <c r="E219" s="1" t="s">
        <v>33</v>
      </c>
      <c r="G219" s="1" t="s">
        <v>117</v>
      </c>
    </row>
    <row r="220" spans="1:7" x14ac:dyDescent="0.25">
      <c r="A220" s="8" t="s">
        <v>231</v>
      </c>
      <c r="B220" s="1" t="s">
        <v>385</v>
      </c>
      <c r="C220" s="1" t="s">
        <v>12</v>
      </c>
      <c r="E220" s="1" t="s">
        <v>8</v>
      </c>
      <c r="G220" s="1" t="s">
        <v>72</v>
      </c>
    </row>
    <row r="221" spans="1:7" x14ac:dyDescent="0.25">
      <c r="A221" s="8" t="s">
        <v>168</v>
      </c>
      <c r="B221" s="1" t="s">
        <v>386</v>
      </c>
      <c r="C221" s="1" t="s">
        <v>10</v>
      </c>
      <c r="D221" s="1">
        <v>3</v>
      </c>
      <c r="E221" s="1" t="s">
        <v>8</v>
      </c>
      <c r="G221" s="1" t="s">
        <v>80</v>
      </c>
    </row>
    <row r="222" spans="1:7" x14ac:dyDescent="0.25">
      <c r="A222" s="8" t="s">
        <v>84</v>
      </c>
      <c r="B222" s="1" t="s">
        <v>387</v>
      </c>
      <c r="C222" s="1" t="s">
        <v>10</v>
      </c>
      <c r="D222" s="1">
        <v>3</v>
      </c>
      <c r="E222" s="1" t="s">
        <v>8</v>
      </c>
      <c r="G222" s="1" t="s">
        <v>80</v>
      </c>
    </row>
    <row r="223" spans="1:7" x14ac:dyDescent="0.25">
      <c r="A223" s="8" t="s">
        <v>301</v>
      </c>
      <c r="B223" s="1" t="s">
        <v>388</v>
      </c>
      <c r="C223" s="1" t="s">
        <v>10</v>
      </c>
      <c r="D223" s="1">
        <v>3</v>
      </c>
      <c r="E223" s="1" t="s">
        <v>33</v>
      </c>
      <c r="G223" s="1" t="s">
        <v>91</v>
      </c>
    </row>
    <row r="224" spans="1:7" x14ac:dyDescent="0.25">
      <c r="A224" s="8" t="s">
        <v>67</v>
      </c>
      <c r="B224" s="1" t="s">
        <v>389</v>
      </c>
      <c r="C224" s="1" t="s">
        <v>10</v>
      </c>
      <c r="D224" s="1">
        <v>5</v>
      </c>
      <c r="E224" s="1" t="s">
        <v>8</v>
      </c>
      <c r="G224" s="1" t="s">
        <v>148</v>
      </c>
    </row>
    <row r="225" spans="1:7" x14ac:dyDescent="0.25">
      <c r="A225" s="8" t="s">
        <v>112</v>
      </c>
      <c r="B225" s="1" t="s">
        <v>390</v>
      </c>
      <c r="C225" s="1" t="s">
        <v>11</v>
      </c>
      <c r="D225" s="1">
        <v>3</v>
      </c>
      <c r="E225" s="1" t="s">
        <v>33</v>
      </c>
      <c r="G225" s="1" t="s">
        <v>97</v>
      </c>
    </row>
    <row r="226" spans="1:7" x14ac:dyDescent="0.25">
      <c r="A226" s="8" t="s">
        <v>391</v>
      </c>
      <c r="B226" s="1" t="s">
        <v>392</v>
      </c>
      <c r="C226" s="1" t="s">
        <v>12</v>
      </c>
      <c r="E226" s="1" t="s">
        <v>8</v>
      </c>
      <c r="G226" s="1" t="s">
        <v>72</v>
      </c>
    </row>
    <row r="227" spans="1:7" x14ac:dyDescent="0.25">
      <c r="A227" s="8" t="s">
        <v>316</v>
      </c>
      <c r="B227" s="1" t="s">
        <v>393</v>
      </c>
      <c r="C227" s="1" t="s">
        <v>10</v>
      </c>
      <c r="D227" s="1">
        <v>1</v>
      </c>
      <c r="E227" s="1" t="s">
        <v>33</v>
      </c>
      <c r="G227" s="1" t="s">
        <v>285</v>
      </c>
    </row>
    <row r="228" spans="1:7" x14ac:dyDescent="0.25">
      <c r="A228" s="8" t="s">
        <v>295</v>
      </c>
      <c r="B228" s="1" t="s">
        <v>394</v>
      </c>
      <c r="C228" s="1" t="s">
        <v>12</v>
      </c>
      <c r="E228" s="1" t="s">
        <v>33</v>
      </c>
      <c r="G228" s="1" t="s">
        <v>128</v>
      </c>
    </row>
    <row r="229" spans="1:7" x14ac:dyDescent="0.25">
      <c r="A229" s="8" t="s">
        <v>205</v>
      </c>
      <c r="B229" s="1" t="s">
        <v>395</v>
      </c>
      <c r="C229" s="1" t="s">
        <v>10</v>
      </c>
      <c r="D229" s="1">
        <v>5</v>
      </c>
      <c r="E229" s="1" t="s">
        <v>8</v>
      </c>
      <c r="G229" s="1" t="s">
        <v>148</v>
      </c>
    </row>
    <row r="230" spans="1:7" x14ac:dyDescent="0.25">
      <c r="A230" s="8" t="s">
        <v>62</v>
      </c>
      <c r="B230" s="1" t="s">
        <v>396</v>
      </c>
      <c r="C230" s="1" t="s">
        <v>11</v>
      </c>
      <c r="D230" s="1">
        <v>1</v>
      </c>
      <c r="E230" s="1" t="s">
        <v>33</v>
      </c>
      <c r="G230" s="1" t="s">
        <v>186</v>
      </c>
    </row>
    <row r="231" spans="1:7" x14ac:dyDescent="0.25">
      <c r="A231" s="8" t="s">
        <v>195</v>
      </c>
      <c r="B231" s="1" t="s">
        <v>397</v>
      </c>
      <c r="C231" s="1" t="s">
        <v>9</v>
      </c>
      <c r="D231" s="1">
        <v>3</v>
      </c>
      <c r="E231" s="1" t="s">
        <v>33</v>
      </c>
      <c r="G231" s="1" t="s">
        <v>181</v>
      </c>
    </row>
    <row r="232" spans="1:7" x14ac:dyDescent="0.25">
      <c r="A232" s="8" t="s">
        <v>258</v>
      </c>
      <c r="B232" s="1" t="s">
        <v>398</v>
      </c>
      <c r="C232" s="1" t="s">
        <v>7</v>
      </c>
      <c r="E232" s="1" t="s">
        <v>33</v>
      </c>
      <c r="G232" s="1" t="s">
        <v>116</v>
      </c>
    </row>
    <row r="233" spans="1:7" x14ac:dyDescent="0.25">
      <c r="A233" s="8" t="s">
        <v>399</v>
      </c>
      <c r="B233" s="1" t="s">
        <v>400</v>
      </c>
      <c r="C233" s="1" t="s">
        <v>11</v>
      </c>
      <c r="D233" s="1">
        <v>2</v>
      </c>
      <c r="E233" s="1" t="s">
        <v>33</v>
      </c>
      <c r="G233" s="1" t="s">
        <v>103</v>
      </c>
    </row>
    <row r="234" spans="1:7" x14ac:dyDescent="0.25">
      <c r="A234" s="8" t="s">
        <v>109</v>
      </c>
      <c r="B234" s="1" t="s">
        <v>401</v>
      </c>
      <c r="C234" s="1" t="s">
        <v>11</v>
      </c>
      <c r="D234" s="1">
        <v>3</v>
      </c>
      <c r="E234" s="1" t="s">
        <v>33</v>
      </c>
      <c r="G234" s="1" t="s">
        <v>113</v>
      </c>
    </row>
    <row r="235" spans="1:7" x14ac:dyDescent="0.25">
      <c r="A235" s="8" t="s">
        <v>175</v>
      </c>
      <c r="B235" s="1" t="s">
        <v>402</v>
      </c>
      <c r="C235" s="1" t="s">
        <v>11</v>
      </c>
      <c r="D235" s="1">
        <v>4</v>
      </c>
      <c r="E235" s="1" t="s">
        <v>8</v>
      </c>
      <c r="G235" s="1" t="s">
        <v>229</v>
      </c>
    </row>
    <row r="236" spans="1:7" x14ac:dyDescent="0.25">
      <c r="A236" s="8" t="s">
        <v>336</v>
      </c>
      <c r="B236" s="1" t="s">
        <v>403</v>
      </c>
      <c r="C236" s="1" t="s">
        <v>12</v>
      </c>
      <c r="E236" s="1" t="s">
        <v>33</v>
      </c>
      <c r="G236" s="1" t="s">
        <v>299</v>
      </c>
    </row>
    <row r="237" spans="1:7" x14ac:dyDescent="0.25">
      <c r="A237" s="8" t="s">
        <v>404</v>
      </c>
      <c r="B237" s="1" t="s">
        <v>405</v>
      </c>
      <c r="C237" s="1" t="s">
        <v>12</v>
      </c>
      <c r="E237" s="1" t="s">
        <v>33</v>
      </c>
      <c r="G237" s="1" t="s">
        <v>248</v>
      </c>
    </row>
    <row r="238" spans="1:7" x14ac:dyDescent="0.25">
      <c r="A238" s="8" t="s">
        <v>98</v>
      </c>
      <c r="B238" s="1" t="s">
        <v>406</v>
      </c>
      <c r="C238" s="1" t="s">
        <v>10</v>
      </c>
      <c r="D238" s="1">
        <v>3</v>
      </c>
      <c r="E238" s="1" t="s">
        <v>8</v>
      </c>
      <c r="G238" s="1" t="s">
        <v>91</v>
      </c>
    </row>
    <row r="239" spans="1:7" x14ac:dyDescent="0.25">
      <c r="A239" s="8" t="s">
        <v>178</v>
      </c>
      <c r="B239" s="1" t="s">
        <v>407</v>
      </c>
      <c r="C239" s="1" t="s">
        <v>10</v>
      </c>
      <c r="D239" s="1">
        <v>4</v>
      </c>
      <c r="E239" s="1" t="s">
        <v>8</v>
      </c>
      <c r="G239" s="1" t="s">
        <v>61</v>
      </c>
    </row>
  </sheetData>
  <mergeCells count="2">
    <mergeCell ref="L8:M8"/>
    <mergeCell ref="L9:M11"/>
  </mergeCells>
  <pageMargins left="0.75" right="0.75" top="1" bottom="1" header="0.5" footer="0.5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Output</vt:lpstr>
      <vt:lpstr>Feedback_Data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Abiodun Prosper</cp:lastModifiedBy>
  <dcterms:created xsi:type="dcterms:W3CDTF">2025-10-29T20:20:44Z</dcterms:created>
  <dcterms:modified xsi:type="dcterms:W3CDTF">2026-03-30T08:32:27Z</dcterms:modified>
</cp:coreProperties>
</file>