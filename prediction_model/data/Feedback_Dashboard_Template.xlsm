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GitHub\scratch\prediction_model\data\"/>
    </mc:Choice>
  </mc:AlternateContent>
  <xr:revisionPtr revIDLastSave="0" documentId="13_ncr:1_{A0F4DA19-F22F-46FE-8AA6-FD5483A5544B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2" i="1"/>
</calcChain>
</file>

<file path=xl/sharedStrings.xml><?xml version="1.0" encoding="utf-8"?>
<sst xmlns="http://schemas.openxmlformats.org/spreadsheetml/2006/main" count="152" uniqueCount="84">
  <si>
    <t>Date</t>
  </si>
  <si>
    <t>Customer</t>
  </si>
  <si>
    <t>Feedback Type</t>
  </si>
  <si>
    <t>Rating (1–5)</t>
  </si>
  <si>
    <t>Status</t>
  </si>
  <si>
    <t>Follow-Up</t>
  </si>
  <si>
    <t>Comments</t>
  </si>
  <si>
    <t>Service</t>
  </si>
  <si>
    <t>Resolved</t>
  </si>
  <si>
    <t>No</t>
  </si>
  <si>
    <t>Online Banking</t>
  </si>
  <si>
    <t>Loan Process</t>
  </si>
  <si>
    <t>App</t>
  </si>
  <si>
    <t>ATM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</si>
  <si>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</si>
  <si>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</si>
  <si>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</si>
  <si>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</si>
  <si>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</si>
  <si>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</si>
  <si>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</si>
  <si>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</si>
  <si>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</si>
  <si>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</si>
  <si>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</si>
  <si>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</si>
  <si>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</si>
  <si>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</si>
  <si>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Critical</t>
  </si>
  <si>
    <t>No specific issues identified</t>
  </si>
  <si>
    <t>Immediate investigation required. Escalate to senior management and deploy dedicated resources.</t>
  </si>
  <si>
    <t>Warning</t>
  </si>
  <si>
    <t>Improve follow-up process and monitor trends closely. Schedule review within 2 weeks.</t>
  </si>
  <si>
    <t>+</t>
  </si>
  <si>
    <t>Which channels generate the most feedback?</t>
  </si>
  <si>
    <t>Shows where customer issues are concentrated (ATM, App, Service, etc.)
Great for resource allocation</t>
  </si>
  <si>
    <t>Improve online banking user experience. Address login and navigation issues.</t>
  </si>
  <si>
    <t>crash</t>
  </si>
  <si>
    <t>Yes</t>
  </si>
  <si>
    <t>Not Resolved</t>
  </si>
  <si>
    <t>Increase ATM cash replenishment frequency. Schedule preventive maintenance.</t>
  </si>
  <si>
    <t>Customer 16</t>
  </si>
  <si>
    <t>ATM failed twice and support was slow</t>
  </si>
  <si>
    <t>Customer 17</t>
  </si>
  <si>
    <t>App is better now but still lags sometimes</t>
  </si>
  <si>
    <t>Customer 18</t>
  </si>
  <si>
    <t>Extremely rude staff, very disappointing</t>
  </si>
  <si>
    <t>Customer 19</t>
  </si>
  <si>
    <t>Login works fine after update</t>
  </si>
  <si>
    <t>Customer 20</t>
  </si>
  <si>
    <t>Confusing steps and no clear communication</t>
  </si>
  <si>
    <t>Customer 21</t>
  </si>
  <si>
    <t>ATM works most of the time</t>
  </si>
  <si>
    <t>Customer 22</t>
  </si>
  <si>
    <t>App crashes immediately after opening</t>
  </si>
  <si>
    <t>Customer 23</t>
  </si>
  <si>
    <t>Very professional and helpful</t>
  </si>
  <si>
    <t>Customer 24</t>
  </si>
  <si>
    <t>App logs out randomly during transactions</t>
  </si>
  <si>
    <t>Customer 25</t>
  </si>
  <si>
    <t>Loan was approved faster than expected</t>
  </si>
  <si>
    <t>Customer 26</t>
  </si>
  <si>
    <t>ATM is functional but slow to respond</t>
  </si>
  <si>
    <t>Customer 27</t>
  </si>
  <si>
    <t>App update caused new bugs</t>
  </si>
  <si>
    <t>Customer 28</t>
  </si>
  <si>
    <t>Staff resolved issue after escalation</t>
  </si>
  <si>
    <t>Customer 29</t>
  </si>
  <si>
    <t>Cannot complete transfers</t>
  </si>
  <si>
    <t>Customer 30</t>
  </si>
  <si>
    <t>Process took time but staff explained well</t>
  </si>
  <si>
    <t>Customer 31</t>
  </si>
  <si>
    <t>ATM issue fixed promptly</t>
  </si>
  <si>
    <t>Customer 32</t>
  </si>
  <si>
    <t>App performance has improved</t>
  </si>
  <si>
    <t>Customer 33</t>
  </si>
  <si>
    <t>Long wait time on support call</t>
  </si>
  <si>
    <t>Customer 34</t>
  </si>
  <si>
    <t>Online banking is fast and reliable</t>
  </si>
  <si>
    <t>Customer 35</t>
  </si>
  <si>
    <t>Application stuck with no updates</t>
  </si>
  <si>
    <t>failed, issue, slow</t>
  </si>
  <si>
    <t>cannot, login</t>
  </si>
  <si>
    <t>issue, rude, wait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</si>
</sst>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1" fillId="3" borderId="0" xfId="1" applyNumberFormat="1" applyFont="1" applyFill="1"/>
    <xf numFmtId="0" fontId="0" fillId="0" borderId="0" xfId="1" applyNumberFormat="1" applyFont="1"/>
    <xf numFmtId="0" fontId="0" fillId="0" borderId="0" xfId="0" applyAlignment="1">
      <alignment horizontal="center" wrapText="1"/>
    </xf>
    <xf numFmtId="9" fontId="1" fillId="3" borderId="0" xfId="1" applyFont="1" applyFill="1"/>
    <xf numFmtId="9" fontId="0" fillId="0" borderId="0" xfId="1" applyFont="1"/>
  </cellXfs>
  <cellStyles count="2">
    <cellStyle name="Normal" xfId="0" builtinId="0"/>
    <cellStyle name="Percent" xfId="1" builtinId="5"/>
  </cellStyles>
  <dxfs count="1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34</xdr:col>
      <xdr:colOff>1075</xdr:colOff>
      <xdr:row>45</xdr:row>
      <xdr:rowOff>104631</xdr:rowOff>
    </xdr:from>
    <xdr:to>
      <xdr:col>40</xdr:col>
      <xdr:colOff>0</xdr:colOff>
      <xdr:row>48</xdr:row>
      <xdr:rowOff>119062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32075" y="8677131"/>
          <a:ext cx="3427925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11</xdr:row>
      <xdr:rowOff>21009</xdr:rowOff>
    </xdr:from>
    <xdr:to>
      <xdr:col>60</xdr:col>
      <xdr:colOff>60232</xdr:colOff>
      <xdr:row>13</xdr:row>
      <xdr:rowOff>85444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2116509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942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26</xdr:row>
      <xdr:rowOff>132785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508578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30</xdr:row>
      <xdr:rowOff>47054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29405076" y="5762054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Immediate investigation required. Escalate to senior management and deploy dedicated resources.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37</xdr:row>
      <xdr:rowOff>168048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451299" y="7216548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41</xdr:row>
      <xdr:rowOff>10722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411518" y="7821222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Immediate investigation required. Escalate to senior management and deploy dedicated resources.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48</xdr:row>
      <xdr:rowOff>177043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9321043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61</xdr:row>
      <xdr:rowOff>22682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1643182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64</xdr:row>
      <xdr:rowOff>67972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527500" y="12259972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295859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466628" y="9685702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276132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7992632" y="101178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252355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7968855" y="10782312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262267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7978767" y="11447380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295752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012252" y="12093505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92994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8952494" y="959819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failed, issue,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106810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8966310" y="10210697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118220</xdr:colOff>
      <xdr:row>57</xdr:row>
      <xdr:rowOff>47626</xdr:rowOff>
    </xdr:from>
    <xdr:ext cx="3691780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0120720" y="1090612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558768</xdr:colOff>
      <xdr:row>61</xdr:row>
      <xdr:rowOff>1</xdr:rowOff>
    </xdr:from>
    <xdr:ext cx="3608419" cy="476249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0561268" y="11620501"/>
          <a:ext cx="3608419" cy="476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cannot, login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500151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19359651" y="12219954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issue, rude, wait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B2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402411" y="9320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B3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407719" y="10041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B4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334484" y="10742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291940</xdr:colOff>
      <xdr:row>59</xdr:row>
      <xdr:rowOff>155736</xdr:rowOff>
    </xdr:from>
    <xdr:ext cx="2649187" cy="616707"/>
    <xdr:sp macro="" textlink="Output!B5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40" y="11395236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398694</xdr:colOff>
      <xdr:row>63</xdr:row>
      <xdr:rowOff>157091</xdr:rowOff>
    </xdr:from>
    <xdr:ext cx="1289777" cy="616707"/>
    <xdr:sp macro="" textlink="Output!B6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4" y="12158591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98856</xdr:colOff>
      <xdr:row>49</xdr:row>
      <xdr:rowOff>113855</xdr:rowOff>
    </xdr:from>
    <xdr:ext cx="4946277" cy="468013"/>
    <xdr:sp macro="" textlink="Output!E2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244856" y="9448355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112673</xdr:colOff>
      <xdr:row>53</xdr:row>
      <xdr:rowOff>81591</xdr:rowOff>
    </xdr:from>
    <xdr:ext cx="4946277" cy="468013"/>
    <xdr:sp macro="" textlink="Output!E3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258673" y="10178091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Critical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197350</xdr:colOff>
      <xdr:row>57</xdr:row>
      <xdr:rowOff>19906</xdr:rowOff>
    </xdr:from>
    <xdr:ext cx="3691780" cy="468013"/>
    <xdr:sp macro="" textlink="Output!E4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486350" y="1087840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Critical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503572</xdr:colOff>
      <xdr:row>60</xdr:row>
      <xdr:rowOff>101722</xdr:rowOff>
    </xdr:from>
    <xdr:ext cx="1486909" cy="468013"/>
    <xdr:sp macro="" textlink="Output!E5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792572" y="11531722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506014</xdr:colOff>
      <xdr:row>64</xdr:row>
      <xdr:rowOff>117462</xdr:rowOff>
    </xdr:from>
    <xdr:ext cx="1423410" cy="468013"/>
    <xdr:sp macro="" textlink="Output!E6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52014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10">
      <calculatedColumnFormula>COUNTA(B:B)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50" headerRowDxfId="9" dataDxfId="8" totalsRowDxfId="7">
  <autoFilter ref="A1:G50" xr:uid="{00000000-0009-0000-0100-000001000000}"/>
  <tableColumns count="7">
    <tableColumn id="1" xr3:uid="{00000000-0010-0000-0000-000001000000}" name="Date" dataDxfId="6"/>
    <tableColumn id="2" xr3:uid="{00000000-0010-0000-0000-000002000000}" name="Customer" dataDxfId="5"/>
    <tableColumn id="3" xr3:uid="{00000000-0010-0000-0000-000003000000}" name="Feedback Type" dataDxfId="4"/>
    <tableColumn id="4" xr3:uid="{00000000-0010-0000-0000-000004000000}" name="Rating (1–5)" dataDxfId="3"/>
    <tableColumn id="5" xr3:uid="{00000000-0010-0000-0000-000005000000}" name="Status" dataDxfId="2"/>
    <tableColumn id="6" xr3:uid="{00000000-0010-0000-0000-000006000000}" name="Follow-Up" dataDxfId="1"/>
    <tableColumn id="7" xr3:uid="{00000000-0010-0000-0000-000007000000}" name="Comment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zoomScale="40" zoomScaleNormal="40" workbookViewId="0">
      <selection activeCell="BL27" sqref="BL27"/>
    </sheetView>
  </sheetViews>
  <sheetFormatPr defaultColWidth="8.7109375" defaultRowHeight="15" x14ac:dyDescent="0.25"/>
  <cols>
    <col min="1" max="16384" width="8.7109375" style="5"/>
  </cols>
  <sheetData>
    <row r="48" spans="16:16" x14ac:dyDescent="0.25">
      <c r="P48" s="5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zoomScale="86" zoomScaleNormal="86" workbookViewId="0">
      <selection activeCell="F15" sqref="F15"/>
    </sheetView>
  </sheetViews>
  <sheetFormatPr defaultRowHeight="15" x14ac:dyDescent="0.25"/>
  <cols>
    <col min="1" max="1" width="2.28515625" bestFit="1" customWidth="1"/>
    <col min="2" max="2" width="15.28515625" bestFit="1" customWidth="1"/>
    <col min="3" max="3" width="14.7109375" style="10" bestFit="1" customWidth="1"/>
    <col min="4" max="4" width="16.42578125" bestFit="1" customWidth="1"/>
    <col min="5" max="5" width="10" bestFit="1" customWidth="1"/>
    <col min="6" max="6" width="27.42578125" bestFit="1" customWidth="1"/>
    <col min="7" max="7" width="93.85546875" bestFit="1" customWidth="1"/>
    <col min="8" max="8" width="16.5703125" style="13" bestFit="1" customWidth="1"/>
    <col min="9" max="9" width="15.5703125" bestFit="1" customWidth="1"/>
  </cols>
  <sheetData>
    <row r="1" spans="1:9" x14ac:dyDescent="0.25">
      <c r="A1" s="7"/>
      <c r="B1" s="7" t="s">
        <v>2</v>
      </c>
      <c r="C1" s="9" t="s">
        <v>17</v>
      </c>
      <c r="D1" s="7" t="s">
        <v>22</v>
      </c>
      <c r="E1" s="7" t="s">
        <v>23</v>
      </c>
      <c r="F1" s="7" t="s">
        <v>24</v>
      </c>
      <c r="G1" s="7" t="s">
        <v>25</v>
      </c>
      <c r="H1" s="12" t="s">
        <v>26</v>
      </c>
      <c r="I1" s="7" t="s">
        <v>27</v>
      </c>
    </row>
    <row r="2" spans="1:9" x14ac:dyDescent="0.25">
      <c r="A2">
        <v>0</v>
      </c>
      <c r="B2" t="s">
        <v>13</v>
      </c>
      <c r="C2" s="10">
        <v>3.5</v>
      </c>
      <c r="D2">
        <v>0.72622500000000001</v>
      </c>
      <c r="E2" t="s">
        <v>31</v>
      </c>
      <c r="F2" t="s">
        <v>81</v>
      </c>
      <c r="G2" t="s">
        <v>40</v>
      </c>
      <c r="H2" s="13">
        <v>0.55061249999999995</v>
      </c>
      <c r="I2" s="6">
        <v>46024.423831018517</v>
      </c>
    </row>
    <row r="3" spans="1:9" x14ac:dyDescent="0.25">
      <c r="A3">
        <v>1</v>
      </c>
      <c r="B3" t="s">
        <v>12</v>
      </c>
      <c r="C3" s="10">
        <v>2.5</v>
      </c>
      <c r="D3">
        <v>0.74929999999999997</v>
      </c>
      <c r="E3" t="s">
        <v>28</v>
      </c>
      <c r="F3" t="s">
        <v>37</v>
      </c>
      <c r="G3" t="s">
        <v>30</v>
      </c>
      <c r="H3" s="13">
        <v>0.68714999999999993</v>
      </c>
      <c r="I3" s="6">
        <v>46024.423831018517</v>
      </c>
    </row>
    <row r="4" spans="1:9" x14ac:dyDescent="0.25">
      <c r="A4">
        <v>2</v>
      </c>
      <c r="B4" t="s">
        <v>11</v>
      </c>
      <c r="C4" s="10">
        <v>2.5</v>
      </c>
      <c r="D4">
        <v>0.50427500000000003</v>
      </c>
      <c r="E4" t="s">
        <v>28</v>
      </c>
      <c r="F4" t="s">
        <v>29</v>
      </c>
      <c r="G4" t="s">
        <v>30</v>
      </c>
      <c r="H4" s="13">
        <v>0.56463750000000001</v>
      </c>
      <c r="I4" s="6">
        <v>46024.423831018517</v>
      </c>
    </row>
    <row r="5" spans="1:9" x14ac:dyDescent="0.25">
      <c r="A5">
        <v>3</v>
      </c>
      <c r="B5" t="s">
        <v>10</v>
      </c>
      <c r="C5" s="10">
        <v>3</v>
      </c>
      <c r="D5">
        <v>0.493975</v>
      </c>
      <c r="E5" t="s">
        <v>31</v>
      </c>
      <c r="F5" t="s">
        <v>82</v>
      </c>
      <c r="G5" t="s">
        <v>36</v>
      </c>
      <c r="H5" s="13">
        <v>0.49698750000000003</v>
      </c>
      <c r="I5" s="6">
        <v>46024.423831018517</v>
      </c>
    </row>
    <row r="6" spans="1:9" x14ac:dyDescent="0.25">
      <c r="A6">
        <v>4</v>
      </c>
      <c r="B6" t="s">
        <v>7</v>
      </c>
      <c r="C6" s="10">
        <v>3</v>
      </c>
      <c r="D6">
        <v>0.58912500000000001</v>
      </c>
      <c r="E6" t="s">
        <v>31</v>
      </c>
      <c r="F6" t="s">
        <v>83</v>
      </c>
      <c r="G6" t="s">
        <v>32</v>
      </c>
      <c r="H6" s="13">
        <v>0.54456250000000006</v>
      </c>
      <c r="I6" s="6">
        <v>46024.423831018517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21"/>
  <sheetViews>
    <sheetView tabSelected="1" zoomScale="80" zoomScaleNormal="80" workbookViewId="0">
      <selection activeCell="I16" sqref="I16"/>
    </sheetView>
  </sheetViews>
  <sheetFormatPr defaultRowHeight="15" x14ac:dyDescent="0.25"/>
  <cols>
    <col min="1" max="1" width="10.5703125" style="8" bestFit="1" customWidth="1"/>
    <col min="2" max="2" width="13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46.42578125" style="1" bestFit="1" customWidth="1"/>
    <col min="9" max="9" width="23.28515625" bestFit="1" customWidth="1"/>
    <col min="10" max="10" width="10.85546875" customWidth="1"/>
    <col min="12" max="12" width="14.5703125" bestFit="1" customWidth="1"/>
    <col min="13" max="13" width="22.5703125" bestFit="1" customWidth="1"/>
  </cols>
  <sheetData>
    <row r="1" spans="1:13" x14ac:dyDescent="0.2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14</v>
      </c>
      <c r="J1" t="s">
        <v>15</v>
      </c>
      <c r="L1" s="4" t="s">
        <v>19</v>
      </c>
      <c r="M1" t="s">
        <v>21</v>
      </c>
    </row>
    <row r="2" spans="1:13" x14ac:dyDescent="0.25">
      <c r="A2" s="8">
        <v>45748</v>
      </c>
      <c r="B2" s="1" t="s">
        <v>41</v>
      </c>
      <c r="C2" s="1" t="s">
        <v>13</v>
      </c>
      <c r="D2" s="1">
        <v>2</v>
      </c>
      <c r="E2" s="1" t="s">
        <v>39</v>
      </c>
      <c r="F2" s="1" t="s">
        <v>38</v>
      </c>
      <c r="G2" s="1" t="s">
        <v>42</v>
      </c>
      <c r="I2" t="s">
        <v>16</v>
      </c>
      <c r="J2">
        <f>COUNTA(B:B)</f>
        <v>21</v>
      </c>
      <c r="L2" s="1" t="s">
        <v>12</v>
      </c>
      <c r="M2">
        <v>10</v>
      </c>
    </row>
    <row r="3" spans="1:13" x14ac:dyDescent="0.25">
      <c r="A3" s="8">
        <v>45749</v>
      </c>
      <c r="B3" s="1" t="s">
        <v>43</v>
      </c>
      <c r="C3" s="1" t="s">
        <v>12</v>
      </c>
      <c r="D3" s="1">
        <v>3</v>
      </c>
      <c r="E3" s="1" t="s">
        <v>8</v>
      </c>
      <c r="F3" s="1" t="s">
        <v>9</v>
      </c>
      <c r="G3" s="1" t="s">
        <v>44</v>
      </c>
      <c r="I3" t="s">
        <v>8</v>
      </c>
      <c r="J3" s="2">
        <f>COUNTIF(E:E,"Resolved")/COUNTIF(E:E,"&lt;&gt;")</f>
        <v>0.52380952380952384</v>
      </c>
      <c r="L3" s="1" t="s">
        <v>13</v>
      </c>
      <c r="M3">
        <v>10</v>
      </c>
    </row>
    <row r="4" spans="1:13" x14ac:dyDescent="0.25">
      <c r="A4" s="8">
        <v>45750</v>
      </c>
      <c r="B4" s="1" t="s">
        <v>45</v>
      </c>
      <c r="C4" s="1" t="s">
        <v>7</v>
      </c>
      <c r="D4" s="1">
        <v>1</v>
      </c>
      <c r="E4" s="1" t="s">
        <v>39</v>
      </c>
      <c r="F4" s="1" t="s">
        <v>38</v>
      </c>
      <c r="G4" s="1" t="s">
        <v>46</v>
      </c>
      <c r="I4" t="s">
        <v>17</v>
      </c>
      <c r="J4">
        <f>AVERAGE(Feedback_Data[Rating (1–5)])</f>
        <v>2.9</v>
      </c>
      <c r="L4" s="1" t="s">
        <v>11</v>
      </c>
      <c r="M4">
        <v>10</v>
      </c>
    </row>
    <row r="5" spans="1:13" x14ac:dyDescent="0.25">
      <c r="A5" s="8">
        <v>45751</v>
      </c>
      <c r="B5" s="1" t="s">
        <v>47</v>
      </c>
      <c r="C5" s="1" t="s">
        <v>10</v>
      </c>
      <c r="D5" s="1">
        <v>4</v>
      </c>
      <c r="E5" s="1" t="s">
        <v>8</v>
      </c>
      <c r="F5" s="1" t="s">
        <v>9</v>
      </c>
      <c r="G5" s="1" t="s">
        <v>48</v>
      </c>
      <c r="I5" t="s">
        <v>18</v>
      </c>
      <c r="J5" s="3">
        <f>COUNTIF(Feedback_Data[Follow-Up],"Yes") / COUNTA(Feedback_Data[Follow-Up])</f>
        <v>0.45</v>
      </c>
      <c r="L5" s="1" t="s">
        <v>10</v>
      </c>
      <c r="M5">
        <v>10</v>
      </c>
    </row>
    <row r="6" spans="1:13" x14ac:dyDescent="0.25">
      <c r="A6" s="8">
        <v>45752</v>
      </c>
      <c r="B6" s="1" t="s">
        <v>49</v>
      </c>
      <c r="C6" s="1" t="s">
        <v>11</v>
      </c>
      <c r="D6" s="1">
        <v>2</v>
      </c>
      <c r="E6" s="1" t="s">
        <v>39</v>
      </c>
      <c r="F6" s="1" t="s">
        <v>38</v>
      </c>
      <c r="G6" s="1" t="s">
        <v>50</v>
      </c>
      <c r="L6" s="1" t="s">
        <v>7</v>
      </c>
      <c r="M6">
        <v>10</v>
      </c>
    </row>
    <row r="7" spans="1:13" x14ac:dyDescent="0.25">
      <c r="A7" s="8">
        <v>45753</v>
      </c>
      <c r="B7" s="1" t="s">
        <v>51</v>
      </c>
      <c r="C7" s="1" t="s">
        <v>13</v>
      </c>
      <c r="D7" s="1">
        <v>4</v>
      </c>
      <c r="E7" s="1" t="s">
        <v>8</v>
      </c>
      <c r="F7" s="1" t="s">
        <v>9</v>
      </c>
      <c r="G7" s="1" t="s">
        <v>52</v>
      </c>
      <c r="L7" s="1" t="s">
        <v>20</v>
      </c>
      <c r="M7">
        <v>50</v>
      </c>
    </row>
    <row r="8" spans="1:13" x14ac:dyDescent="0.25">
      <c r="A8" s="8">
        <v>45754</v>
      </c>
      <c r="B8" s="1" t="s">
        <v>53</v>
      </c>
      <c r="C8" s="1" t="s">
        <v>12</v>
      </c>
      <c r="D8" s="1">
        <v>1</v>
      </c>
      <c r="E8" s="1" t="s">
        <v>39</v>
      </c>
      <c r="F8" s="1" t="s">
        <v>38</v>
      </c>
      <c r="G8" s="1" t="s">
        <v>54</v>
      </c>
      <c r="L8" s="11" t="s">
        <v>34</v>
      </c>
      <c r="M8" s="11"/>
    </row>
    <row r="9" spans="1:13" ht="15" customHeight="1" x14ac:dyDescent="0.25">
      <c r="A9" s="8">
        <v>45755</v>
      </c>
      <c r="B9" s="1" t="s">
        <v>55</v>
      </c>
      <c r="C9" s="1" t="s">
        <v>7</v>
      </c>
      <c r="D9" s="1">
        <v>5</v>
      </c>
      <c r="E9" s="1" t="s">
        <v>8</v>
      </c>
      <c r="F9" s="1" t="s">
        <v>9</v>
      </c>
      <c r="G9" s="1" t="s">
        <v>56</v>
      </c>
      <c r="L9" s="11" t="s">
        <v>35</v>
      </c>
      <c r="M9" s="11"/>
    </row>
    <row r="10" spans="1:13" ht="15" customHeight="1" x14ac:dyDescent="0.25">
      <c r="A10" s="8">
        <v>45756</v>
      </c>
      <c r="B10" s="1" t="s">
        <v>57</v>
      </c>
      <c r="C10" s="1" t="s">
        <v>10</v>
      </c>
      <c r="D10" s="1">
        <v>2</v>
      </c>
      <c r="E10" s="1" t="s">
        <v>39</v>
      </c>
      <c r="F10" s="1" t="s">
        <v>38</v>
      </c>
      <c r="G10" s="1" t="s">
        <v>58</v>
      </c>
      <c r="L10" s="11"/>
      <c r="M10" s="11"/>
    </row>
    <row r="11" spans="1:13" x14ac:dyDescent="0.25">
      <c r="A11" s="8">
        <v>45757</v>
      </c>
      <c r="B11" s="1" t="s">
        <v>59</v>
      </c>
      <c r="C11" s="1" t="s">
        <v>11</v>
      </c>
      <c r="D11" s="1">
        <v>4</v>
      </c>
      <c r="E11" s="1" t="s">
        <v>8</v>
      </c>
      <c r="F11" s="1" t="s">
        <v>9</v>
      </c>
      <c r="G11" s="1" t="s">
        <v>60</v>
      </c>
      <c r="L11" s="11"/>
      <c r="M11" s="11"/>
    </row>
    <row r="12" spans="1:13" x14ac:dyDescent="0.25">
      <c r="A12" s="8">
        <v>45758</v>
      </c>
      <c r="B12" s="1" t="s">
        <v>61</v>
      </c>
      <c r="C12" s="1" t="s">
        <v>13</v>
      </c>
      <c r="D12" s="1">
        <v>3</v>
      </c>
      <c r="E12" s="1" t="s">
        <v>8</v>
      </c>
      <c r="F12" s="1" t="s">
        <v>9</v>
      </c>
      <c r="G12" s="1" t="s">
        <v>62</v>
      </c>
    </row>
    <row r="13" spans="1:13" x14ac:dyDescent="0.25">
      <c r="A13" s="8">
        <v>45759</v>
      </c>
      <c r="B13" s="1" t="s">
        <v>63</v>
      </c>
      <c r="C13" s="1" t="s">
        <v>12</v>
      </c>
      <c r="D13" s="1">
        <v>2</v>
      </c>
      <c r="E13" s="1" t="s">
        <v>39</v>
      </c>
      <c r="F13" s="1" t="s">
        <v>38</v>
      </c>
      <c r="G13" s="1" t="s">
        <v>64</v>
      </c>
    </row>
    <row r="14" spans="1:13" x14ac:dyDescent="0.25">
      <c r="A14" s="8">
        <v>45760</v>
      </c>
      <c r="B14" s="1" t="s">
        <v>65</v>
      </c>
      <c r="C14" s="1" t="s">
        <v>7</v>
      </c>
      <c r="D14" s="1">
        <v>4</v>
      </c>
      <c r="E14" s="1" t="s">
        <v>8</v>
      </c>
      <c r="F14" s="1" t="s">
        <v>9</v>
      </c>
      <c r="G14" s="1" t="s">
        <v>66</v>
      </c>
    </row>
    <row r="15" spans="1:13" x14ac:dyDescent="0.25">
      <c r="A15" s="8">
        <v>45761</v>
      </c>
      <c r="B15" s="1" t="s">
        <v>67</v>
      </c>
      <c r="C15" s="1" t="s">
        <v>10</v>
      </c>
      <c r="D15" s="1">
        <v>1</v>
      </c>
      <c r="E15" s="1" t="s">
        <v>39</v>
      </c>
      <c r="F15" s="1" t="s">
        <v>38</v>
      </c>
      <c r="G15" s="1" t="s">
        <v>68</v>
      </c>
    </row>
    <row r="16" spans="1:13" x14ac:dyDescent="0.25">
      <c r="A16" s="8">
        <v>45762</v>
      </c>
      <c r="B16" s="1" t="s">
        <v>69</v>
      </c>
      <c r="C16" s="1" t="s">
        <v>11</v>
      </c>
      <c r="D16" s="1">
        <v>3</v>
      </c>
      <c r="E16" s="1" t="s">
        <v>8</v>
      </c>
      <c r="F16" s="1" t="s">
        <v>9</v>
      </c>
      <c r="G16" s="1" t="s">
        <v>70</v>
      </c>
    </row>
    <row r="17" spans="1:7" x14ac:dyDescent="0.25">
      <c r="A17" s="8">
        <v>45763</v>
      </c>
      <c r="B17" s="1" t="s">
        <v>71</v>
      </c>
      <c r="C17" s="1" t="s">
        <v>13</v>
      </c>
      <c r="D17" s="1">
        <v>5</v>
      </c>
      <c r="E17" s="1" t="s">
        <v>8</v>
      </c>
      <c r="F17" s="1" t="s">
        <v>9</v>
      </c>
      <c r="G17" s="1" t="s">
        <v>72</v>
      </c>
    </row>
    <row r="18" spans="1:7" x14ac:dyDescent="0.25">
      <c r="A18" s="8">
        <v>45764</v>
      </c>
      <c r="B18" s="1" t="s">
        <v>73</v>
      </c>
      <c r="C18" s="1" t="s">
        <v>12</v>
      </c>
      <c r="D18" s="1">
        <v>4</v>
      </c>
      <c r="E18" s="1" t="s">
        <v>8</v>
      </c>
      <c r="F18" s="1" t="s">
        <v>9</v>
      </c>
      <c r="G18" s="1" t="s">
        <v>74</v>
      </c>
    </row>
    <row r="19" spans="1:7" x14ac:dyDescent="0.25">
      <c r="A19" s="8">
        <v>45765</v>
      </c>
      <c r="B19" s="1" t="s">
        <v>75</v>
      </c>
      <c r="C19" s="1" t="s">
        <v>7</v>
      </c>
      <c r="D19" s="1">
        <v>2</v>
      </c>
      <c r="E19" s="1" t="s">
        <v>39</v>
      </c>
      <c r="F19" s="1" t="s">
        <v>38</v>
      </c>
      <c r="G19" s="1" t="s">
        <v>76</v>
      </c>
    </row>
    <row r="20" spans="1:7" x14ac:dyDescent="0.25">
      <c r="A20" s="8">
        <v>45766</v>
      </c>
      <c r="B20" s="1" t="s">
        <v>77</v>
      </c>
      <c r="C20" s="1" t="s">
        <v>10</v>
      </c>
      <c r="D20" s="1">
        <v>5</v>
      </c>
      <c r="E20" s="1" t="s">
        <v>8</v>
      </c>
      <c r="F20" s="1" t="s">
        <v>9</v>
      </c>
      <c r="G20" s="1" t="s">
        <v>78</v>
      </c>
    </row>
    <row r="21" spans="1:7" x14ac:dyDescent="0.25">
      <c r="A21" s="8">
        <v>45767</v>
      </c>
      <c r="B21" s="1" t="s">
        <v>79</v>
      </c>
      <c r="C21" s="1" t="s">
        <v>11</v>
      </c>
      <c r="D21" s="1">
        <v>1</v>
      </c>
      <c r="E21" s="1" t="s">
        <v>39</v>
      </c>
      <c r="F21" s="1" t="s">
        <v>38</v>
      </c>
      <c r="G21" s="1" t="s">
        <v>80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2026-01-03T11:19:25Z</dcterms:modified>
</cp:coreProperties>
</file>