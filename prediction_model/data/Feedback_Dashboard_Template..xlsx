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iod\Desktop\"/>
    </mc:Choice>
  </mc:AlternateContent>
  <xr:revisionPtr revIDLastSave="0" documentId="13_ncr:1_{8F32FD4E-BBE8-40CA-9EC0-8B3D4665092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ashboard" sheetId="9" r:id="rId1"/>
    <sheet name="Feedback_Data" sheetId="1" r:id="rId2"/>
    <sheet name="Dashboard1" sheetId="2" r:id="rId3"/>
    <sheet name="Sheet2" sheetId="8" r:id="rId4"/>
    <sheet name="Sheet5" sheetId="7" r:id="rId5"/>
    <sheet name="Sheet4" sheetId="6" r:id="rId6"/>
    <sheet name="Sheet3" sheetId="5" r:id="rId7"/>
    <sheet name="Sheet1" sheetId="3" r:id="rId8"/>
    <sheet name="Pi" sheetId="4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J5" i="1"/>
  <c r="J4" i="1"/>
  <c r="J3" i="1"/>
  <c r="J2" i="1"/>
</calcChain>
</file>

<file path=xl/sharedStrings.xml><?xml version="1.0" encoding="utf-8"?>
<sst xmlns="http://schemas.openxmlformats.org/spreadsheetml/2006/main" count="311" uniqueCount="92">
  <si>
    <t>Date</t>
  </si>
  <si>
    <t>Customer</t>
  </si>
  <si>
    <t>Feedback Type</t>
  </si>
  <si>
    <t>Rating (1–5)</t>
  </si>
  <si>
    <t>Status</t>
  </si>
  <si>
    <t>Follow-Up</t>
  </si>
  <si>
    <t>Comments</t>
  </si>
  <si>
    <t>Customer 1</t>
  </si>
  <si>
    <t>Service</t>
  </si>
  <si>
    <t>Resolved</t>
  </si>
  <si>
    <t>No</t>
  </si>
  <si>
    <t>Great service</t>
  </si>
  <si>
    <t>Customer 2</t>
  </si>
  <si>
    <t>Online Banking</t>
  </si>
  <si>
    <t>Open</t>
  </si>
  <si>
    <t>Yes</t>
  </si>
  <si>
    <t>App crashes</t>
  </si>
  <si>
    <t>Customer 3</t>
  </si>
  <si>
    <t>Loan Process</t>
  </si>
  <si>
    <t>Slow response</t>
  </si>
  <si>
    <t>Customer 4</t>
  </si>
  <si>
    <t>App</t>
  </si>
  <si>
    <t>ATM issue</t>
  </si>
  <si>
    <t>Customer 5</t>
  </si>
  <si>
    <t>ATM</t>
  </si>
  <si>
    <t>Helpful staff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</si>
  <si>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</si>
  <si>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</si>
  <si>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</si>
  <si>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</si>
  <si>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</si>
  <si>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</si>
  <si>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</si>
  <si>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</si>
  <si>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</si>
  <si>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</si>
  <si>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</si>
  <si>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</si>
  <si>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</si>
  <si>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</si>
  <si>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</si>
  <si>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</si>
  <si>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</si>
  <si>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</si>
  <si>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</si>
  <si>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</si>
  <si>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</si>
  <si>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</si>
  <si>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</si>
  <si>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</si>
  <si>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</si>
  <si>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</si>
  <si>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</si>
  <si>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</si>
  <si>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</si>
  <si>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</si>
  <si>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</si>
  <si>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</si>
  <si>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</si>
  <si>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</si>
  <si>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</si>
  <si>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</si>
  <si>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</si>
  <si>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</si>
  <si>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</si>
  <si>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</si>
  <si>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</si>
  <si>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</si>
  <si>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</si>
  <si>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</si>
  <si>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</si>
  <si>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Feedback Dashboard</t>
  </si>
  <si>
    <t>Total Feedback:</t>
  </si>
  <si>
    <t>% Resolved:</t>
  </si>
  <si>
    <t>Average Rating:</t>
  </si>
  <si>
    <t>% Follow-Up Required:</t>
  </si>
  <si>
    <t>Metric</t>
  </si>
  <si>
    <t>Output</t>
  </si>
  <si>
    <t>Total Feedback Received</t>
  </si>
  <si>
    <t>Average Rating</t>
  </si>
  <si>
    <t>Requiring Follow-Up</t>
  </si>
  <si>
    <t>Row Labels</t>
  </si>
  <si>
    <t>(blank)</t>
  </si>
  <si>
    <t>Grand Total</t>
  </si>
  <si>
    <t>Column Labels</t>
  </si>
  <si>
    <t>Sum of Rating (1–5)</t>
  </si>
  <si>
    <t>Count of Feedback Type</t>
  </si>
  <si>
    <t>Jan</t>
  </si>
  <si>
    <t>Feb</t>
  </si>
  <si>
    <t>Count of Status</t>
  </si>
  <si>
    <t xml:space="preserve"> </t>
  </si>
  <si>
    <t>&lt;1/1/2025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</si>
</sst>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8F8F8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[Feedback_Dashboard_Template..xlsx]Pi!PivotTable1</c:name>
    <c:fmtId val="4"/>
  </c:pivotSource>
  <c:chart>
    <c:title>
      <c:layout>
        <c:manualLayout>
          <c:xMode val="edge"/>
          <c:yMode val="edge"/>
          <c:x val="0.10886416298360956"/>
          <c:y val="0.80505020353144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Pi!$B$3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286-4FB4-8DDC-500388FCE4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286-4FB4-8DDC-500388FCE4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286-4FB4-8DDC-500388FCE4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286-4FB4-8DDC-500388FCE4B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286-4FB4-8DDC-500388FCE4B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4286-4FB4-8DDC-500388FCE4BF}"/>
              </c:ext>
            </c:extLst>
          </c:dPt>
          <c:cat>
            <c:strRef>
              <c:f>Pi!$A$4:$A$10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Pi!$B$4:$B$10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86-4FB4-8DDC-500388FCE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[Feedback_Dashboard_Template..xlsx]Sheet3!PivotTable2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F-4BDD-AD10-46EE50B8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1373103"/>
        <c:axId val="1071371663"/>
      </c:barChart>
      <c:catAx>
        <c:axId val="107137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1663"/>
        <c:crosses val="autoZero"/>
        <c:auto val="1"/>
        <c:lblAlgn val="ctr"/>
        <c:lblOffset val="100"/>
        <c:noMultiLvlLbl val="0"/>
      </c:catAx>
      <c:valAx>
        <c:axId val="10713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[Feedback_Dashboard_Template..xlsx]Sheet2!PivotTable1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20160655518823E-2"/>
          <c:y val="0.15033029225201708"/>
          <c:w val="0.84044482615687022"/>
          <c:h val="0.75779654162758014"/>
        </c:manualLayout>
      </c:layout>
      <c:area3D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A-42CD-9E7A-29570EF37AC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A-42CD-9E7A-29570EF37AC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A-42CD-9E7A-29570EF37AC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9A-42CD-9E7A-29570EF37AC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Sheet2!$F$5:$F$10</c:f>
              <c:numCache>
                <c:formatCode>General</c:formatCode>
                <c:ptCount val="5"/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9A-42CD-9E7A-29570EF37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4064"/>
        <c:axId val="1567924544"/>
        <c:axId val="1514911072"/>
      </c:area3DChart>
      <c:catAx>
        <c:axId val="15679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  <c:auto val="1"/>
        <c:lblAlgn val="ctr"/>
        <c:lblOffset val="100"/>
        <c:noMultiLvlLbl val="0"/>
      </c:catAx>
      <c:valAx>
        <c:axId val="15679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064"/>
        <c:crosses val="autoZero"/>
        <c:crossBetween val="midCat"/>
      </c:valAx>
      <c:serAx>
        <c:axId val="1514911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[Feedback_Dashboard_Template..xlsx]Sheet4!PivotTable3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Sheet4!$A$4:$A$7</c:f>
              <c:strCache>
                <c:ptCount val="3"/>
                <c:pt idx="0">
                  <c:v>&lt;1/1/2025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1">
                  <c:v>31</c:v>
                </c:pt>
                <c:pt idx="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73-B337-8A766510C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406111"/>
        <c:axId val="319403231"/>
      </c:lineChart>
      <c:catAx>
        <c:axId val="3194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3231"/>
        <c:crosses val="autoZero"/>
        <c:auto val="1"/>
        <c:lblAlgn val="ctr"/>
        <c:lblOffset val="100"/>
        <c:noMultiLvlLbl val="0"/>
      </c:catAx>
      <c:valAx>
        <c:axId val="3194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[Feedback_Dashboard_Template..xlsx]Sheet5!PivotTable4</c:name>
    <c:fmtId val="4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32699588470745E-2"/>
          <c:y val="0.16408303901111734"/>
          <c:w val="0.78666497196093277"/>
          <c:h val="0.687919723580881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Sheet5!$B$5:$B$11</c:f>
              <c:numCache>
                <c:formatCode>General</c:formatCode>
                <c:ptCount val="6"/>
                <c:pt idx="0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D-4E5C-A88A-2B8442D7C785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Sheet5!$C$5:$C$11</c:f>
              <c:numCache>
                <c:formatCode>General</c:formatCode>
                <c:ptCount val="6"/>
                <c:pt idx="1">
                  <c:v>10</c:v>
                </c:pt>
                <c:pt idx="2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D-4E5C-A88A-2B8442D7C785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Sheet5!$D$5:$D$11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C7ED-4E5C-A88A-2B8442D7C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9835663"/>
        <c:axId val="1129836143"/>
        <c:axId val="677870303"/>
      </c:bar3DChart>
      <c:catAx>
        <c:axId val="112983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6143"/>
        <c:crosses val="autoZero"/>
        <c:auto val="1"/>
        <c:lblAlgn val="ctr"/>
        <c:lblOffset val="100"/>
        <c:noMultiLvlLbl val="0"/>
      </c:catAx>
      <c:valAx>
        <c:axId val="11298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5663"/>
        <c:crosses val="autoZero"/>
        <c:crossBetween val="between"/>
      </c:valAx>
      <c:serAx>
        <c:axId val="677870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614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[Feedback_Dashboard_Template..xlsx]Pi!PivotTable1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69-4866-A0BA-59C5B3B939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69-4866-A0BA-59C5B3B939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69-4866-A0BA-59C5B3B939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69-4866-A0BA-59C5B3B939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69-4866-A0BA-59C5B3B939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04-413E-9852-97D7EC4EAC03}"/>
              </c:ext>
            </c:extLst>
          </c:dPt>
          <c:cat>
            <c:strRef>
              <c:f>Pi!$A$4:$A$10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Pi!$B$4:$B$10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69-4866-A0BA-59C5B3B93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[Feedback_Dashboard_Template..xlsx]Sheet3!PivotTable2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8-43E7-98AD-1A1A7B9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373103"/>
        <c:axId val="1071371663"/>
      </c:barChart>
      <c:catAx>
        <c:axId val="107137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1663"/>
        <c:crosses val="autoZero"/>
        <c:auto val="1"/>
        <c:lblAlgn val="ctr"/>
        <c:lblOffset val="100"/>
        <c:noMultiLvlLbl val="0"/>
      </c:catAx>
      <c:valAx>
        <c:axId val="10713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[Feedback_Dashboard_Template..xlsx]Sheet4!PivotTable3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Sheet4!$A$4:$A$7</c:f>
              <c:strCache>
                <c:ptCount val="3"/>
                <c:pt idx="0">
                  <c:v>&lt;1/1/2025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1">
                  <c:v>31</c:v>
                </c:pt>
                <c:pt idx="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2-457A-8F77-05B179FDE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406111"/>
        <c:axId val="319403231"/>
      </c:lineChart>
      <c:catAx>
        <c:axId val="3194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3231"/>
        <c:crosses val="autoZero"/>
        <c:auto val="1"/>
        <c:lblAlgn val="ctr"/>
        <c:lblOffset val="100"/>
        <c:noMultiLvlLbl val="0"/>
      </c:catAx>
      <c:valAx>
        <c:axId val="3194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[Feedback_Dashboard_Template..xlsx]Sheet5!PivotTable4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Sheet5!$B$5:$B$11</c:f>
              <c:numCache>
                <c:formatCode>General</c:formatCode>
                <c:ptCount val="6"/>
                <c:pt idx="0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4-422D-8532-007C69DDD3DC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Sheet5!$C$5:$C$11</c:f>
              <c:numCache>
                <c:formatCode>General</c:formatCode>
                <c:ptCount val="6"/>
                <c:pt idx="1">
                  <c:v>10</c:v>
                </c:pt>
                <c:pt idx="2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43-4092-93C2-DF7AD5CE6333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Sheet5!$A$5:$A$11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Sheet5!$D$5:$D$11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1743-4092-93C2-DF7AD5CE6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9835663"/>
        <c:axId val="1129836143"/>
        <c:axId val="677870303"/>
      </c:bar3DChart>
      <c:catAx>
        <c:axId val="112983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6143"/>
        <c:crosses val="autoZero"/>
        <c:auto val="1"/>
        <c:lblAlgn val="ctr"/>
        <c:lblOffset val="100"/>
        <c:noMultiLvlLbl val="0"/>
      </c:catAx>
      <c:valAx>
        <c:axId val="11298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5663"/>
        <c:crosses val="autoZero"/>
        <c:crossBetween val="between"/>
      </c:valAx>
      <c:serAx>
        <c:axId val="677870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614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9-4718-AE07-9E3CEBBE9CF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9-4718-AE07-9E3CEBBE9CF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9-4718-AE07-9E3CEBBE9CF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9-4718-AE07-9E3CEBBE9CF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Sheet2!$F$5:$F$10</c:f>
              <c:numCache>
                <c:formatCode>General</c:formatCode>
                <c:ptCount val="5"/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9-4718-AE07-9E3CEBBE9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4064"/>
        <c:axId val="1567924544"/>
        <c:axId val="1514911072"/>
      </c:area3DChart>
      <c:catAx>
        <c:axId val="15679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  <c:auto val="1"/>
        <c:lblAlgn val="ctr"/>
        <c:lblOffset val="100"/>
        <c:noMultiLvlLbl val="0"/>
      </c:catAx>
      <c:valAx>
        <c:axId val="15679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064"/>
        <c:crosses val="autoZero"/>
        <c:crossBetween val="midCat"/>
      </c:valAx>
      <c:serAx>
        <c:axId val="1514911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1-4953-9858-5A135AC40B8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1-4953-9858-5A135AC40B8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31-4953-9858-5A135AC40B8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31-4953-9858-5A135AC40B8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Sheet2!$A$5:$A$10</c:f>
              <c:strCache>
                <c:ptCount val="5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</c:strCache>
            </c:strRef>
          </c:cat>
          <c:val>
            <c:numRef>
              <c:f>Sheet2!$F$5:$F$10</c:f>
              <c:numCache>
                <c:formatCode>General</c:formatCode>
                <c:ptCount val="5"/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31-4953-9858-5A135AC40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4064"/>
        <c:axId val="1567924544"/>
        <c:axId val="1514911072"/>
      </c:area3DChart>
      <c:catAx>
        <c:axId val="15679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  <c:auto val="1"/>
        <c:lblAlgn val="ctr"/>
        <c:lblOffset val="100"/>
        <c:noMultiLvlLbl val="0"/>
      </c:catAx>
      <c:valAx>
        <c:axId val="15679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064"/>
        <c:crosses val="autoZero"/>
        <c:crossBetween val="midCat"/>
      </c:valAx>
      <c:serAx>
        <c:axId val="1514911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45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[Feedback_Dashboard_Template..xlsx]Sheet4!PivotTable3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Sheet4!$A$4:$A$7</c:f>
              <c:strCache>
                <c:ptCount val="3"/>
                <c:pt idx="0">
                  <c:v>&lt;1/1/2025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1">
                  <c:v>31</c:v>
                </c:pt>
                <c:pt idx="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3-4D90-82F9-24F7E80B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406111"/>
        <c:axId val="319403231"/>
      </c:lineChart>
      <c:catAx>
        <c:axId val="3194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3231"/>
        <c:crosses val="autoZero"/>
        <c:auto val="1"/>
        <c:lblAlgn val="ctr"/>
        <c:lblOffset val="100"/>
        <c:noMultiLvlLbl val="0"/>
      </c:catAx>
      <c:valAx>
        <c:axId val="3194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[Feedback_Dashboard_Template..xlsx]Sheet3!PivotTable2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B-4FAC-A2DF-2AECDB2E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373103"/>
        <c:axId val="1071371663"/>
      </c:barChart>
      <c:catAx>
        <c:axId val="107137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1663"/>
        <c:crosses val="autoZero"/>
        <c:auto val="1"/>
        <c:lblAlgn val="ctr"/>
        <c:lblOffset val="100"/>
        <c:noMultiLvlLbl val="0"/>
      </c:catAx>
      <c:valAx>
        <c:axId val="10713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7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Feedback by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Feedback_Data!$C$1</c:f>
              <c:strCache>
                <c:ptCount val="1"/>
                <c:pt idx="0">
                  <c:v>Feedback Type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Feedback_Data!$C$2:$C$51</c:f>
              <c:strCache>
                <c:ptCount val="50"/>
                <c:pt idx="0">
                  <c:v>Service</c:v>
                </c:pt>
                <c:pt idx="1">
                  <c:v>Online Banking</c:v>
                </c:pt>
                <c:pt idx="2">
                  <c:v>Loan Process</c:v>
                </c:pt>
                <c:pt idx="3">
                  <c:v>App</c:v>
                </c:pt>
                <c:pt idx="4">
                  <c:v>ATM</c:v>
                </c:pt>
                <c:pt idx="5">
                  <c:v>Service</c:v>
                </c:pt>
                <c:pt idx="6">
                  <c:v>Online Banking</c:v>
                </c:pt>
                <c:pt idx="7">
                  <c:v>Loan Process</c:v>
                </c:pt>
                <c:pt idx="8">
                  <c:v>App</c:v>
                </c:pt>
                <c:pt idx="9">
                  <c:v>ATM</c:v>
                </c:pt>
                <c:pt idx="10">
                  <c:v>Service</c:v>
                </c:pt>
                <c:pt idx="11">
                  <c:v>Online Banking</c:v>
                </c:pt>
                <c:pt idx="12">
                  <c:v>Loan Process</c:v>
                </c:pt>
                <c:pt idx="13">
                  <c:v>App</c:v>
                </c:pt>
                <c:pt idx="14">
                  <c:v>ATM</c:v>
                </c:pt>
                <c:pt idx="15">
                  <c:v>Service</c:v>
                </c:pt>
                <c:pt idx="16">
                  <c:v>Online Banking</c:v>
                </c:pt>
                <c:pt idx="17">
                  <c:v>Loan Process</c:v>
                </c:pt>
                <c:pt idx="18">
                  <c:v>App</c:v>
                </c:pt>
                <c:pt idx="19">
                  <c:v>ATM</c:v>
                </c:pt>
                <c:pt idx="20">
                  <c:v>Service</c:v>
                </c:pt>
                <c:pt idx="21">
                  <c:v>Online Banking</c:v>
                </c:pt>
                <c:pt idx="22">
                  <c:v>Loan Process</c:v>
                </c:pt>
                <c:pt idx="23">
                  <c:v>App</c:v>
                </c:pt>
                <c:pt idx="24">
                  <c:v>ATM</c:v>
                </c:pt>
                <c:pt idx="25">
                  <c:v>Service</c:v>
                </c:pt>
                <c:pt idx="26">
                  <c:v>Online Banking</c:v>
                </c:pt>
                <c:pt idx="27">
                  <c:v>Loan Process</c:v>
                </c:pt>
                <c:pt idx="28">
                  <c:v>App</c:v>
                </c:pt>
                <c:pt idx="29">
                  <c:v>ATM</c:v>
                </c:pt>
                <c:pt idx="30">
                  <c:v>Service</c:v>
                </c:pt>
                <c:pt idx="31">
                  <c:v>Online Banking</c:v>
                </c:pt>
                <c:pt idx="32">
                  <c:v>Loan Process</c:v>
                </c:pt>
                <c:pt idx="33">
                  <c:v>App</c:v>
                </c:pt>
                <c:pt idx="34">
                  <c:v>ATM</c:v>
                </c:pt>
                <c:pt idx="35">
                  <c:v>Service</c:v>
                </c:pt>
                <c:pt idx="36">
                  <c:v>Online Banking</c:v>
                </c:pt>
                <c:pt idx="37">
                  <c:v>Loan Process</c:v>
                </c:pt>
                <c:pt idx="38">
                  <c:v>App</c:v>
                </c:pt>
                <c:pt idx="39">
                  <c:v>ATM</c:v>
                </c:pt>
                <c:pt idx="40">
                  <c:v>Service</c:v>
                </c:pt>
                <c:pt idx="41">
                  <c:v>Online Banking</c:v>
                </c:pt>
                <c:pt idx="42">
                  <c:v>Loan Process</c:v>
                </c:pt>
                <c:pt idx="43">
                  <c:v>App</c:v>
                </c:pt>
                <c:pt idx="44">
                  <c:v>ATM</c:v>
                </c:pt>
                <c:pt idx="45">
                  <c:v>Service</c:v>
                </c:pt>
                <c:pt idx="46">
                  <c:v>Online Banking</c:v>
                </c:pt>
                <c:pt idx="47">
                  <c:v>Loan Process</c:v>
                </c:pt>
                <c:pt idx="48">
                  <c:v>App</c:v>
                </c:pt>
                <c:pt idx="49">
                  <c:v>ATM</c:v>
                </c:pt>
              </c:strCache>
            </c:strRef>
          </c:cat>
          <c:val>
            <c:numRef>
              <c:f>Feedback_Data!$C$2:$C$51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F-4F0D-9C4E-9CEEB8FD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[Feedback_Dashboard_Template..xlsx]Pi!PivotTable1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6-4377-BD08-02A0DF6458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6-4377-BD08-02A0DF6458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6-4377-BD08-02A0DF6458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6-4377-BD08-02A0DF6458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86-4377-BD08-02A0DF6458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87-4E7F-94F8-A6CCD03A33E4}"/>
              </c:ext>
            </c:extLst>
          </c:dPt>
          <c:cat>
            <c:strRef>
              <c:f>Pi!$A$4:$A$10</c:f>
              <c:strCache>
                <c:ptCount val="6"/>
                <c:pt idx="0">
                  <c:v>App</c:v>
                </c:pt>
                <c:pt idx="1">
                  <c:v>ATM</c:v>
                </c:pt>
                <c:pt idx="2">
                  <c:v>Loan Process</c:v>
                </c:pt>
                <c:pt idx="3">
                  <c:v>Online Banking</c:v>
                </c:pt>
                <c:pt idx="4">
                  <c:v>Service</c:v>
                </c:pt>
                <c:pt idx="5">
                  <c:v>(blank)</c:v>
                </c:pt>
              </c:strCache>
            </c:strRef>
          </c:cat>
          <c:val>
            <c:numRef>
              <c:f>Pi!$B$4:$B$10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0-4D0B-92D8-29890969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418475</xdr:colOff>
      <xdr:row>3</xdr:row>
      <xdr:rowOff>28975</xdr:rowOff>
    </xdr:from>
    <xdr:to>
      <xdr:col>3</xdr:col>
      <xdr:colOff>245807</xdr:colOff>
      <xdr:row>72</xdr:row>
      <xdr:rowOff>47624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70167FA-19AB-7A55-2228-182873356282}"/>
            </a:ext>
          </a:extLst>
        </xdr:cNvPr>
        <xdr:cNvSpPr/>
      </xdr:nvSpPr>
      <xdr:spPr>
        <a:xfrm>
          <a:off x="418475" y="600475"/>
          <a:ext cx="1684707" cy="13163149"/>
        </a:xfrm>
        <a:prstGeom prst="roundRect">
          <a:avLst>
            <a:gd name="adj" fmla="val 32362"/>
          </a:avLst>
        </a:prstGeom>
        <a:solidFill>
          <a:srgbClr val="EAEAEA"/>
        </a:solidFill>
        <a:ln>
          <a:noFill/>
        </a:ln>
        <a:effectLst>
          <a:outerShdw blurRad="774700" sx="107000" sy="107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390972</xdr:colOff>
      <xdr:row>12</xdr:row>
      <xdr:rowOff>1078</xdr:rowOff>
    </xdr:from>
    <xdr:to>
      <xdr:col>13</xdr:col>
      <xdr:colOff>78516</xdr:colOff>
      <xdr:row>20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0554F4A-DC88-41E1-2A2A-85C2DE467BEF}"/>
            </a:ext>
          </a:extLst>
        </xdr:cNvPr>
        <xdr:cNvSpPr/>
      </xdr:nvSpPr>
      <xdr:spPr>
        <a:xfrm>
          <a:off x="2867472" y="2287078"/>
          <a:ext cx="5259669" cy="1522922"/>
        </a:xfrm>
        <a:prstGeom prst="roundRect">
          <a:avLst>
            <a:gd name="adj" fmla="val 2334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364634</xdr:colOff>
      <xdr:row>23</xdr:row>
      <xdr:rowOff>35739</xdr:rowOff>
    </xdr:from>
    <xdr:to>
      <xdr:col>18</xdr:col>
      <xdr:colOff>587962</xdr:colOff>
      <xdr:row>46</xdr:row>
      <xdr:rowOff>23518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55EF0CE-AB96-17DA-B52C-BC988BCD657D}"/>
            </a:ext>
          </a:extLst>
        </xdr:cNvPr>
        <xdr:cNvSpPr/>
      </xdr:nvSpPr>
      <xdr:spPr>
        <a:xfrm>
          <a:off x="2810560" y="4363146"/>
          <a:ext cx="8784069" cy="4315187"/>
        </a:xfrm>
        <a:prstGeom prst="roundRect">
          <a:avLst>
            <a:gd name="adj" fmla="val 1353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47037</xdr:colOff>
      <xdr:row>22</xdr:row>
      <xdr:rowOff>94074</xdr:rowOff>
    </xdr:from>
    <xdr:to>
      <xdr:col>50</xdr:col>
      <xdr:colOff>10807</xdr:colOff>
      <xdr:row>46</xdr:row>
      <xdr:rowOff>70555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E221AF6-710D-62E6-D5CC-7B22161326A0}"/>
            </a:ext>
          </a:extLst>
        </xdr:cNvPr>
        <xdr:cNvSpPr/>
      </xdr:nvSpPr>
      <xdr:spPr>
        <a:xfrm>
          <a:off x="20225926" y="4233333"/>
          <a:ext cx="10358955" cy="4492037"/>
        </a:xfrm>
        <a:prstGeom prst="roundRect">
          <a:avLst>
            <a:gd name="adj" fmla="val 13393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262075</xdr:colOff>
      <xdr:row>22</xdr:row>
      <xdr:rowOff>80797</xdr:rowOff>
    </xdr:from>
    <xdr:to>
      <xdr:col>32</xdr:col>
      <xdr:colOff>354051</xdr:colOff>
      <xdr:row>46</xdr:row>
      <xdr:rowOff>68648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28FC8DC-9B0D-B186-B355-62D2E4E9AB64}"/>
            </a:ext>
          </a:extLst>
        </xdr:cNvPr>
        <xdr:cNvSpPr/>
      </xdr:nvSpPr>
      <xdr:spPr>
        <a:xfrm>
          <a:off x="11880223" y="4220056"/>
          <a:ext cx="8041235" cy="4503407"/>
        </a:xfrm>
        <a:prstGeom prst="roundRect">
          <a:avLst>
            <a:gd name="adj" fmla="val 12901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373031</xdr:colOff>
      <xdr:row>49</xdr:row>
      <xdr:rowOff>1818</xdr:rowOff>
    </xdr:from>
    <xdr:to>
      <xdr:col>18</xdr:col>
      <xdr:colOff>544101</xdr:colOff>
      <xdr:row>71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81CB6B3-3BAB-1A83-6FF2-B05771778DDD}"/>
            </a:ext>
          </a:extLst>
        </xdr:cNvPr>
        <xdr:cNvSpPr/>
      </xdr:nvSpPr>
      <xdr:spPr>
        <a:xfrm>
          <a:off x="2849531" y="9336318"/>
          <a:ext cx="8838820" cy="4189182"/>
        </a:xfrm>
        <a:prstGeom prst="roundRect">
          <a:avLst>
            <a:gd name="adj" fmla="val 18677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377459</xdr:colOff>
      <xdr:row>12</xdr:row>
      <xdr:rowOff>11717</xdr:rowOff>
    </xdr:from>
    <xdr:to>
      <xdr:col>22</xdr:col>
      <xdr:colOff>53590</xdr:colOff>
      <xdr:row>20</xdr:row>
      <xdr:rowOff>7465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4C50453-45FF-47A4-7B6E-BD4F99438581}"/>
            </a:ext>
          </a:extLst>
        </xdr:cNvPr>
        <xdr:cNvSpPr/>
      </xdr:nvSpPr>
      <xdr:spPr>
        <a:xfrm>
          <a:off x="8426084" y="2297717"/>
          <a:ext cx="5248256" cy="1519748"/>
        </a:xfrm>
        <a:prstGeom prst="roundRect">
          <a:avLst>
            <a:gd name="adj" fmla="val 2334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483385</xdr:colOff>
      <xdr:row>11</xdr:row>
      <xdr:rowOff>159869</xdr:rowOff>
    </xdr:from>
    <xdr:to>
      <xdr:col>31</xdr:col>
      <xdr:colOff>193154</xdr:colOff>
      <xdr:row>19</xdr:row>
      <xdr:rowOff>158792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FF70525-98AE-D8C7-D9EE-6F93F1435210}"/>
            </a:ext>
          </a:extLst>
        </xdr:cNvPr>
        <xdr:cNvSpPr/>
      </xdr:nvSpPr>
      <xdr:spPr>
        <a:xfrm>
          <a:off x="14104135" y="2255369"/>
          <a:ext cx="5281894" cy="1522923"/>
        </a:xfrm>
        <a:prstGeom prst="roundRect">
          <a:avLst>
            <a:gd name="adj" fmla="val 2334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131691</xdr:colOff>
      <xdr:row>11</xdr:row>
      <xdr:rowOff>173601</xdr:rowOff>
    </xdr:from>
    <xdr:to>
      <xdr:col>49</xdr:col>
      <xdr:colOff>435185</xdr:colOff>
      <xdr:row>19</xdr:row>
      <xdr:rowOff>169349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5133034-CA87-732D-FF02-A86317592AFD}"/>
            </a:ext>
          </a:extLst>
        </xdr:cNvPr>
        <xdr:cNvSpPr/>
      </xdr:nvSpPr>
      <xdr:spPr>
        <a:xfrm>
          <a:off x="25515816" y="2269101"/>
          <a:ext cx="5256494" cy="1519748"/>
        </a:xfrm>
        <a:prstGeom prst="roundRect">
          <a:avLst>
            <a:gd name="adj" fmla="val 2334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235581</xdr:colOff>
      <xdr:row>49</xdr:row>
      <xdr:rowOff>74765</xdr:rowOff>
    </xdr:from>
    <xdr:to>
      <xdr:col>32</xdr:col>
      <xdr:colOff>467196</xdr:colOff>
      <xdr:row>71</xdr:row>
      <xdr:rowOff>71437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DFE0A36-1CAD-41EE-843B-C9B1352541C4}"/>
            </a:ext>
          </a:extLst>
        </xdr:cNvPr>
        <xdr:cNvSpPr/>
      </xdr:nvSpPr>
      <xdr:spPr>
        <a:xfrm>
          <a:off x="11998956" y="9409265"/>
          <a:ext cx="8280240" cy="4187672"/>
        </a:xfrm>
        <a:prstGeom prst="roundRect">
          <a:avLst>
            <a:gd name="adj" fmla="val 15422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211667</xdr:colOff>
      <xdr:row>49</xdr:row>
      <xdr:rowOff>65082</xdr:rowOff>
    </xdr:from>
    <xdr:to>
      <xdr:col>50</xdr:col>
      <xdr:colOff>31149</xdr:colOff>
      <xdr:row>71</xdr:row>
      <xdr:rowOff>71437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10F7FBF-C7A4-9A6B-5BAC-B27E0F893BD4}"/>
            </a:ext>
          </a:extLst>
        </xdr:cNvPr>
        <xdr:cNvSpPr/>
      </xdr:nvSpPr>
      <xdr:spPr>
        <a:xfrm>
          <a:off x="20642792" y="9399582"/>
          <a:ext cx="10344607" cy="4197355"/>
        </a:xfrm>
        <a:prstGeom prst="roundRect">
          <a:avLst>
            <a:gd name="adj" fmla="val 20495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529167</xdr:colOff>
      <xdr:row>24</xdr:row>
      <xdr:rowOff>36660</xdr:rowOff>
    </xdr:from>
    <xdr:to>
      <xdr:col>18</xdr:col>
      <xdr:colOff>517407</xdr:colOff>
      <xdr:row>44</xdr:row>
      <xdr:rowOff>36661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DFDDC5D-AB17-43EB-BD1F-684E9DE1D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37353</xdr:colOff>
      <xdr:row>25</xdr:row>
      <xdr:rowOff>56029</xdr:rowOff>
    </xdr:from>
    <xdr:ext cx="1606176" cy="46691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E6D876-3BA9-C000-D888-4033B916A6EE}"/>
            </a:ext>
          </a:extLst>
        </xdr:cNvPr>
        <xdr:cNvSpPr txBox="1"/>
      </xdr:nvSpPr>
      <xdr:spPr>
        <a:xfrm>
          <a:off x="5584265" y="4725147"/>
          <a:ext cx="1606176" cy="466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280439</xdr:colOff>
      <xdr:row>24</xdr:row>
      <xdr:rowOff>45819</xdr:rowOff>
    </xdr:from>
    <xdr:to>
      <xdr:col>14</xdr:col>
      <xdr:colOff>102540</xdr:colOff>
      <xdr:row>26</xdr:row>
      <xdr:rowOff>50800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BC87D6F3-0C48-897F-2656-151853F39695}"/>
            </a:ext>
          </a:extLst>
        </xdr:cNvPr>
        <xdr:cNvSpPr txBox="1">
          <a:spLocks noChangeArrowheads="1"/>
        </xdr:cNvSpPr>
      </xdr:nvSpPr>
      <xdr:spPr bwMode="auto">
        <a:xfrm>
          <a:off x="5783772" y="4561375"/>
          <a:ext cx="2879509" cy="3812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Feedback Type count</a:t>
          </a:r>
        </a:p>
      </xdr:txBody>
    </xdr:sp>
    <xdr:clientData/>
  </xdr:twoCellAnchor>
  <xdr:twoCellAnchor>
    <xdr:from>
      <xdr:col>23</xdr:col>
      <xdr:colOff>251076</xdr:colOff>
      <xdr:row>23</xdr:row>
      <xdr:rowOff>89363</xdr:rowOff>
    </xdr:from>
    <xdr:to>
      <xdr:col>28</xdr:col>
      <xdr:colOff>76202</xdr:colOff>
      <xdr:row>25</xdr:row>
      <xdr:rowOff>94344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8A13EE75-836A-387E-2E66-B0B84EE8D397}"/>
            </a:ext>
          </a:extLst>
        </xdr:cNvPr>
        <xdr:cNvSpPr txBox="1">
          <a:spLocks noChangeArrowheads="1"/>
        </xdr:cNvSpPr>
      </xdr:nvSpPr>
      <xdr:spPr bwMode="auto">
        <a:xfrm>
          <a:off x="14315150" y="4416770"/>
          <a:ext cx="2882533" cy="381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Feedback Type count</a:t>
          </a:r>
        </a:p>
      </xdr:txBody>
    </xdr:sp>
    <xdr:clientData/>
  </xdr:twoCellAnchor>
  <xdr:twoCellAnchor>
    <xdr:from>
      <xdr:col>9</xdr:col>
      <xdr:colOff>382980</xdr:colOff>
      <xdr:row>50</xdr:row>
      <xdr:rowOff>2545</xdr:rowOff>
    </xdr:from>
    <xdr:to>
      <xdr:col>14</xdr:col>
      <xdr:colOff>205081</xdr:colOff>
      <xdr:row>52</xdr:row>
      <xdr:rowOff>7526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630F5AF4-E34A-54AB-656B-DB2E955A0752}"/>
            </a:ext>
          </a:extLst>
        </xdr:cNvPr>
        <xdr:cNvSpPr txBox="1">
          <a:spLocks noChangeArrowheads="1"/>
        </xdr:cNvSpPr>
      </xdr:nvSpPr>
      <xdr:spPr bwMode="auto">
        <a:xfrm>
          <a:off x="5886313" y="9409952"/>
          <a:ext cx="2879509" cy="381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Feedback Type count</a:t>
          </a:r>
        </a:p>
      </xdr:txBody>
    </xdr:sp>
    <xdr:clientData/>
  </xdr:twoCellAnchor>
  <xdr:twoCellAnchor>
    <xdr:from>
      <xdr:col>23</xdr:col>
      <xdr:colOff>303688</xdr:colOff>
      <xdr:row>50</xdr:row>
      <xdr:rowOff>60334</xdr:rowOff>
    </xdr:from>
    <xdr:to>
      <xdr:col>28</xdr:col>
      <xdr:colOff>125790</xdr:colOff>
      <xdr:row>52</xdr:row>
      <xdr:rowOff>65315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20053B67-3B46-E775-9AB0-55A75975D3C6}"/>
            </a:ext>
          </a:extLst>
        </xdr:cNvPr>
        <xdr:cNvSpPr txBox="1">
          <a:spLocks noChangeArrowheads="1"/>
        </xdr:cNvSpPr>
      </xdr:nvSpPr>
      <xdr:spPr bwMode="auto">
        <a:xfrm>
          <a:off x="14491402" y="9131763"/>
          <a:ext cx="2906388" cy="367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Feedback Type count</a:t>
          </a:r>
        </a:p>
      </xdr:txBody>
    </xdr:sp>
    <xdr:clientData/>
  </xdr:twoCellAnchor>
  <xdr:twoCellAnchor>
    <xdr:from>
      <xdr:col>40</xdr:col>
      <xdr:colOff>202087</xdr:colOff>
      <xdr:row>50</xdr:row>
      <xdr:rowOff>67592</xdr:rowOff>
    </xdr:from>
    <xdr:to>
      <xdr:col>45</xdr:col>
      <xdr:colOff>24190</xdr:colOff>
      <xdr:row>52</xdr:row>
      <xdr:rowOff>72573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3ACEA410-9BAA-4FF7-C861-701F21E176B2}"/>
            </a:ext>
          </a:extLst>
        </xdr:cNvPr>
        <xdr:cNvSpPr txBox="1">
          <a:spLocks noChangeArrowheads="1"/>
        </xdr:cNvSpPr>
      </xdr:nvSpPr>
      <xdr:spPr bwMode="auto">
        <a:xfrm>
          <a:off x="24661346" y="9474999"/>
          <a:ext cx="2879511" cy="381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Prediction</a:t>
          </a:r>
        </a:p>
      </xdr:txBody>
    </xdr:sp>
    <xdr:clientData/>
  </xdr:twoCellAnchor>
  <xdr:twoCellAnchor>
    <xdr:from>
      <xdr:col>40</xdr:col>
      <xdr:colOff>85973</xdr:colOff>
      <xdr:row>24</xdr:row>
      <xdr:rowOff>24048</xdr:rowOff>
    </xdr:from>
    <xdr:to>
      <xdr:col>44</xdr:col>
      <xdr:colOff>524933</xdr:colOff>
      <xdr:row>26</xdr:row>
      <xdr:rowOff>29029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FB8E9BE-5FEA-662E-2F8F-79F3273D817C}"/>
            </a:ext>
          </a:extLst>
        </xdr:cNvPr>
        <xdr:cNvSpPr txBox="1">
          <a:spLocks noChangeArrowheads="1"/>
        </xdr:cNvSpPr>
      </xdr:nvSpPr>
      <xdr:spPr bwMode="auto">
        <a:xfrm>
          <a:off x="24760259" y="4378334"/>
          <a:ext cx="2906388" cy="367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bg1">
                  <a:lumMod val="50000"/>
                </a:schemeClr>
              </a:solidFill>
              <a:latin typeface="Bodoni MT Black" panose="02070A03080606020203" pitchFamily="18" charset="0"/>
              <a:ea typeface="Calibri"/>
              <a:cs typeface="Calibri"/>
            </a:rPr>
            <a:t>Feedback Type count</a:t>
          </a:r>
        </a:p>
      </xdr:txBody>
    </xdr:sp>
    <xdr:clientData/>
  </xdr:twoCellAnchor>
  <xdr:twoCellAnchor>
    <xdr:from>
      <xdr:col>20</xdr:col>
      <xdr:colOff>107861</xdr:colOff>
      <xdr:row>24</xdr:row>
      <xdr:rowOff>156392</xdr:rowOff>
    </xdr:from>
    <xdr:to>
      <xdr:col>32</xdr:col>
      <xdr:colOff>141112</xdr:colOff>
      <xdr:row>44</xdr:row>
      <xdr:rowOff>148167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6A33367-0622-4736-ABD7-82ABBBB1E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470370</xdr:colOff>
      <xdr:row>23</xdr:row>
      <xdr:rowOff>139308</xdr:rowOff>
    </xdr:from>
    <xdr:to>
      <xdr:col>49</xdr:col>
      <xdr:colOff>441067</xdr:colOff>
      <xdr:row>45</xdr:row>
      <xdr:rowOff>42332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601F5AE-F78E-46A2-A4A3-3072CD576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138929</xdr:colOff>
      <xdr:row>51</xdr:row>
      <xdr:rowOff>89409</xdr:rowOff>
    </xdr:from>
    <xdr:to>
      <xdr:col>18</xdr:col>
      <xdr:colOff>282222</xdr:colOff>
      <xdr:row>66</xdr:row>
      <xdr:rowOff>42334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52FE85E-20EB-42DC-B0FE-74605B144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481898</xdr:colOff>
      <xdr:row>49</xdr:row>
      <xdr:rowOff>168362</xdr:rowOff>
    </xdr:from>
    <xdr:to>
      <xdr:col>31</xdr:col>
      <xdr:colOff>583179</xdr:colOff>
      <xdr:row>66</xdr:row>
      <xdr:rowOff>5839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8288AE7-BDC4-46ED-B892-43FFE917F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307255</xdr:colOff>
      <xdr:row>1</xdr:row>
      <xdr:rowOff>143386</xdr:rowOff>
    </xdr:from>
    <xdr:ext cx="10241937" cy="108087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C53FADA-29D2-077B-1614-FC290058F423}"/>
            </a:ext>
          </a:extLst>
        </xdr:cNvPr>
        <xdr:cNvSpPr txBox="1"/>
      </xdr:nvSpPr>
      <xdr:spPr>
        <a:xfrm>
          <a:off x="3379836" y="327741"/>
          <a:ext cx="10241937" cy="1080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6600">
              <a:latin typeface="Bodoni MT Black" panose="02070A03080606020203" pitchFamily="18" charset="0"/>
            </a:rPr>
            <a:t>Feedback distribution </a:t>
          </a:r>
        </a:p>
      </xdr:txBody>
    </xdr:sp>
    <xdr:clientData/>
  </xdr:oneCellAnchor>
  <xdr:oneCellAnchor>
    <xdr:from>
      <xdr:col>5</xdr:col>
      <xdr:colOff>336752</xdr:colOff>
      <xdr:row>6</xdr:row>
      <xdr:rowOff>152400</xdr:rowOff>
    </xdr:from>
    <xdr:ext cx="3186473" cy="103162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968812A-4668-0F70-E778-4CC07044D3AA}"/>
            </a:ext>
          </a:extLst>
        </xdr:cNvPr>
        <xdr:cNvSpPr txBox="1"/>
      </xdr:nvSpPr>
      <xdr:spPr>
        <a:xfrm>
          <a:off x="3409333" y="1258529"/>
          <a:ext cx="3186473" cy="1031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6000"/>
            <a:t>Welcome</a:t>
          </a:r>
        </a:p>
      </xdr:txBody>
    </xdr:sp>
    <xdr:clientData/>
  </xdr:oneCellAnchor>
  <xdr:twoCellAnchor>
    <xdr:from>
      <xdr:col>50</xdr:col>
      <xdr:colOff>445462</xdr:colOff>
      <xdr:row>4</xdr:row>
      <xdr:rowOff>181375</xdr:rowOff>
    </xdr:from>
    <xdr:to>
      <xdr:col>60</xdr:col>
      <xdr:colOff>425450</xdr:colOff>
      <xdr:row>74</xdr:row>
      <xdr:rowOff>9524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1C08A95-D526-3A9D-20A5-F760666C26B3}"/>
            </a:ext>
          </a:extLst>
        </xdr:cNvPr>
        <xdr:cNvSpPr/>
      </xdr:nvSpPr>
      <xdr:spPr>
        <a:xfrm>
          <a:off x="31401712" y="943375"/>
          <a:ext cx="6171238" cy="13163149"/>
        </a:xfrm>
        <a:prstGeom prst="roundRect">
          <a:avLst>
            <a:gd name="adj" fmla="val 10753"/>
          </a:avLst>
        </a:prstGeom>
        <a:solidFill>
          <a:srgbClr val="EAEAEA"/>
        </a:solidFill>
        <a:ln>
          <a:noFill/>
        </a:ln>
        <a:effectLst>
          <a:outerShdw blurRad="774700" sx="107000" sy="107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53176</xdr:colOff>
      <xdr:row>11</xdr:row>
      <xdr:rowOff>183679</xdr:rowOff>
    </xdr:from>
    <xdr:to>
      <xdr:col>40</xdr:col>
      <xdr:colOff>369370</xdr:colOff>
      <xdr:row>19</xdr:row>
      <xdr:rowOff>182602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FA16DE3-E811-5A27-B2EB-CC626D26989A}"/>
            </a:ext>
          </a:extLst>
        </xdr:cNvPr>
        <xdr:cNvSpPr/>
      </xdr:nvSpPr>
      <xdr:spPr>
        <a:xfrm>
          <a:off x="19865176" y="2279179"/>
          <a:ext cx="5269194" cy="1522923"/>
        </a:xfrm>
        <a:prstGeom prst="roundRect">
          <a:avLst>
            <a:gd name="adj" fmla="val 23346"/>
          </a:avLst>
        </a:prstGeom>
        <a:solidFill>
          <a:srgbClr val="EAEAEA"/>
        </a:solidFill>
        <a:ln>
          <a:noFill/>
        </a:ln>
        <a:effectLst>
          <a:outerShdw blurRad="774700" sx="99000" sy="99000" algn="ctr" rotWithShape="0">
            <a:schemeClr val="tx1">
              <a:lumMod val="95000"/>
              <a:lumOff val="5000"/>
              <a:alpha val="2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359491</xdr:colOff>
      <xdr:row>3</xdr:row>
      <xdr:rowOff>73698</xdr:rowOff>
    </xdr:from>
    <xdr:to>
      <xdr:col>6</xdr:col>
      <xdr:colOff>15426</xdr:colOff>
      <xdr:row>15</xdr:row>
      <xdr:rowOff>16341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8ABC3D-C83F-45D2-A164-07199BCD5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344497</xdr:colOff>
      <xdr:row>1</xdr:row>
      <xdr:rowOff>21597</xdr:rowOff>
    </xdr:from>
    <xdr:to>
      <xdr:col>13</xdr:col>
      <xdr:colOff>414618</xdr:colOff>
      <xdr:row>12</xdr:row>
      <xdr:rowOff>148308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C04F79-981E-48FA-959D-A8C174DA5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204536</xdr:colOff>
      <xdr:row>20</xdr:row>
      <xdr:rowOff>87796</xdr:rowOff>
    </xdr:from>
    <xdr:to>
      <xdr:col>5</xdr:col>
      <xdr:colOff>349720</xdr:colOff>
      <xdr:row>32</xdr:row>
      <xdr:rowOff>44789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D57AC3-16DF-4CAA-8462-C87A58C24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218193</xdr:colOff>
      <xdr:row>13</xdr:row>
      <xdr:rowOff>161236</xdr:rowOff>
    </xdr:from>
    <xdr:to>
      <xdr:col>18</xdr:col>
      <xdr:colOff>146538</xdr:colOff>
      <xdr:row>25</xdr:row>
      <xdr:rowOff>176170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73034B-4BF4-4DDA-B744-2D55D52B3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488462</xdr:colOff>
      <xdr:row>1</xdr:row>
      <xdr:rowOff>24422</xdr:rowOff>
    </xdr:from>
    <xdr:to>
      <xdr:col>21</xdr:col>
      <xdr:colOff>175847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C76BF-5EA8-4F24-8654-55D22398A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406400</xdr:colOff>
      <xdr:row>1</xdr:row>
      <xdr:rowOff>50800</xdr:rowOff>
    </xdr:from>
    <xdr:to>
      <xdr:col>16</xdr:col>
      <xdr:colOff>101600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81F9B-5A16-34B8-07ED-2BE0D80E2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2</xdr:row>
      <xdr:rowOff>79375</xdr:rowOff>
    </xdr:from>
    <xdr:to>
      <xdr:col>9</xdr:col>
      <xdr:colOff>311150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6450E-5084-0BBF-376D-ED727F095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358775</xdr:colOff>
      <xdr:row>1</xdr:row>
      <xdr:rowOff>187322</xdr:rowOff>
    </xdr:from>
    <xdr:to>
      <xdr:col>6</xdr:col>
      <xdr:colOff>438150</xdr:colOff>
      <xdr:row>12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A850B-8468-9708-A76E-53F54637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1</xdr:row>
      <xdr:rowOff>38100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2D013-57BD-4F30-809E-940FCAAE9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307975</xdr:colOff>
      <xdr:row>1</xdr:row>
      <xdr:rowOff>53975</xdr:rowOff>
    </xdr:from>
    <xdr:to>
      <xdr:col>10</xdr:col>
      <xdr:colOff>3175</xdr:colOff>
      <xdr:row>15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51C0F-C0CB-C445-CF30-8B4818B59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odun Prosper" refreshedDate="45959.920524074078" createdVersion="8" refreshedVersion="8" minRefreshableVersion="3" recordCount="51" xr:uid="{EE0BAA16-F3DA-477C-A177-924B0EEAF0B6}">
  <cacheSource type="worksheet">
    <worksheetSource ref="A1:G1048576" sheet="Feedback_Data"/>
  </cacheSource>
  <cacheFields count="9">
    <cacheField name="Date" numFmtId="0">
      <sharedItems containsNonDate="0" containsDate="1" containsString="0" containsBlank="1" minDate="2025-01-01T00:00:00" maxDate="2025-02-20T00:00:00" count="5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m/>
      </sharedItems>
      <fieldGroup par="8"/>
    </cacheField>
    <cacheField name="Customer" numFmtId="0">
      <sharedItems containsBlank="1"/>
    </cacheField>
    <cacheField name="Feedback Type" numFmtId="0">
      <sharedItems containsBlank="1" count="6">
        <s v="Service"/>
        <s v="Online Banking"/>
        <s v="Loan Process"/>
        <s v="App"/>
        <s v="ATM"/>
        <m/>
      </sharedItems>
    </cacheField>
    <cacheField name="Rating (1–5)" numFmtId="0">
      <sharedItems containsString="0" containsBlank="1" containsNumber="1" containsInteger="1" minValue="1" maxValue="5" count="6">
        <n v="5"/>
        <n v="4"/>
        <n v="3"/>
        <n v="2"/>
        <n v="1"/>
        <m/>
      </sharedItems>
    </cacheField>
    <cacheField name="Status" numFmtId="0">
      <sharedItems containsBlank="1" count="3">
        <s v="Resolved"/>
        <s v="Open"/>
        <m/>
      </sharedItems>
    </cacheField>
    <cacheField name="Follow-Up" numFmtId="0">
      <sharedItems containsBlank="1"/>
    </cacheField>
    <cacheField name="Comments" numFmtId="0">
      <sharedItems containsBlank="1"/>
    </cacheField>
    <cacheField name="Days (Date)" numFmtId="0" databaseField="0">
      <fieldGroup base="0">
        <rangePr groupBy="days" startDate="2025-01-01T00:00:00" endDate="2025-02-20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0/2025"/>
        </groupItems>
      </fieldGroup>
    </cacheField>
    <cacheField name="Months (Date)" numFmtId="0" databaseField="0">
      <fieldGroup base="0">
        <rangePr groupBy="months" startDate="2025-01-01T00:00:00" endDate="2025-02-20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odun Prosper" refreshedDate="45973.915276388892" createdVersion="8" refreshedVersion="8" minRefreshableVersion="3" recordCount="50" xr:uid="{3CEE053E-F165-4370-976B-385EB65753E8}">
  <cacheSource type="worksheet">
    <worksheetSource name="Feedback_Data"/>
  </cacheSource>
  <cacheFields count="7">
    <cacheField name="Date" numFmtId="164">
      <sharedItems containsSemiMixedTypes="0" containsNonDate="0" containsDate="1" containsString="0" minDate="2025-01-01T00:00:00" maxDate="2025-02-20T00:00:00"/>
    </cacheField>
    <cacheField name="Customer" numFmtId="0">
      <sharedItems/>
    </cacheField>
    <cacheField name="Feedback Type" numFmtId="0">
      <sharedItems count="5">
        <s v="Service"/>
        <s v="Online Banking"/>
        <s v="Loan Process"/>
        <s v="App"/>
        <s v="ATM"/>
      </sharedItems>
    </cacheField>
    <cacheField name="Rating (1–5)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Status" numFmtId="0">
      <sharedItems/>
    </cacheField>
    <cacheField name="Follow-Up" numFmtId="0">
      <sharedItems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Customer 1"/>
    <x v="0"/>
    <x v="0"/>
    <x v="0"/>
    <s v="No"/>
    <s v="Great service"/>
  </r>
  <r>
    <x v="1"/>
    <s v="Customer 2"/>
    <x v="1"/>
    <x v="1"/>
    <x v="1"/>
    <s v="Yes"/>
    <s v="App crashes"/>
  </r>
  <r>
    <x v="2"/>
    <s v="Customer 3"/>
    <x v="2"/>
    <x v="2"/>
    <x v="0"/>
    <s v="No"/>
    <s v="Slow response"/>
  </r>
  <r>
    <x v="3"/>
    <s v="Customer 4"/>
    <x v="3"/>
    <x v="3"/>
    <x v="1"/>
    <s v="Yes"/>
    <s v="ATM issue"/>
  </r>
  <r>
    <x v="4"/>
    <s v="Customer 5"/>
    <x v="4"/>
    <x v="4"/>
    <x v="0"/>
    <s v="No"/>
    <s v="Helpful staff"/>
  </r>
  <r>
    <x v="5"/>
    <s v="Customer 6"/>
    <x v="0"/>
    <x v="0"/>
    <x v="0"/>
    <s v="No"/>
    <s v="Great service"/>
  </r>
  <r>
    <x v="6"/>
    <s v="Customer 7"/>
    <x v="1"/>
    <x v="1"/>
    <x v="1"/>
    <s v="Yes"/>
    <s v="App crashes"/>
  </r>
  <r>
    <x v="7"/>
    <s v="Customer 8"/>
    <x v="2"/>
    <x v="2"/>
    <x v="0"/>
    <s v="No"/>
    <s v="Slow response"/>
  </r>
  <r>
    <x v="8"/>
    <s v="Customer 9"/>
    <x v="3"/>
    <x v="3"/>
    <x v="1"/>
    <s v="Yes"/>
    <s v="ATM issue"/>
  </r>
  <r>
    <x v="9"/>
    <s v="Customer 10"/>
    <x v="4"/>
    <x v="4"/>
    <x v="0"/>
    <s v="No"/>
    <s v="Helpful staff"/>
  </r>
  <r>
    <x v="10"/>
    <s v="Customer 11"/>
    <x v="0"/>
    <x v="0"/>
    <x v="0"/>
    <s v="No"/>
    <s v="Great service"/>
  </r>
  <r>
    <x v="11"/>
    <s v="Customer 12"/>
    <x v="1"/>
    <x v="1"/>
    <x v="1"/>
    <s v="Yes"/>
    <s v="App crashes"/>
  </r>
  <r>
    <x v="12"/>
    <s v="Customer 13"/>
    <x v="2"/>
    <x v="2"/>
    <x v="0"/>
    <s v="No"/>
    <s v="Slow response"/>
  </r>
  <r>
    <x v="13"/>
    <s v="Customer 14"/>
    <x v="3"/>
    <x v="3"/>
    <x v="1"/>
    <s v="Yes"/>
    <s v="ATM issue"/>
  </r>
  <r>
    <x v="14"/>
    <s v="Customer 15"/>
    <x v="4"/>
    <x v="4"/>
    <x v="0"/>
    <s v="No"/>
    <s v="Helpful staff"/>
  </r>
  <r>
    <x v="15"/>
    <s v="Customer 16"/>
    <x v="0"/>
    <x v="0"/>
    <x v="0"/>
    <s v="No"/>
    <s v="Great service"/>
  </r>
  <r>
    <x v="16"/>
    <s v="Customer 17"/>
    <x v="1"/>
    <x v="1"/>
    <x v="1"/>
    <s v="Yes"/>
    <s v="App crashes"/>
  </r>
  <r>
    <x v="17"/>
    <s v="Customer 18"/>
    <x v="2"/>
    <x v="2"/>
    <x v="0"/>
    <s v="No"/>
    <s v="Slow response"/>
  </r>
  <r>
    <x v="18"/>
    <s v="Customer 19"/>
    <x v="3"/>
    <x v="3"/>
    <x v="1"/>
    <s v="Yes"/>
    <s v="ATM issue"/>
  </r>
  <r>
    <x v="19"/>
    <s v="Customer 20"/>
    <x v="4"/>
    <x v="4"/>
    <x v="0"/>
    <s v="No"/>
    <s v="Helpful staff"/>
  </r>
  <r>
    <x v="20"/>
    <s v="Customer 21"/>
    <x v="0"/>
    <x v="0"/>
    <x v="0"/>
    <s v="No"/>
    <s v="Great service"/>
  </r>
  <r>
    <x v="21"/>
    <s v="Customer 22"/>
    <x v="1"/>
    <x v="1"/>
    <x v="1"/>
    <s v="Yes"/>
    <s v="App crashes"/>
  </r>
  <r>
    <x v="22"/>
    <s v="Customer 23"/>
    <x v="2"/>
    <x v="2"/>
    <x v="0"/>
    <s v="No"/>
    <s v="Slow response"/>
  </r>
  <r>
    <x v="23"/>
    <s v="Customer 24"/>
    <x v="3"/>
    <x v="3"/>
    <x v="1"/>
    <s v="Yes"/>
    <s v="ATM issue"/>
  </r>
  <r>
    <x v="24"/>
    <s v="Customer 25"/>
    <x v="4"/>
    <x v="4"/>
    <x v="0"/>
    <s v="No"/>
    <s v="Helpful staff"/>
  </r>
  <r>
    <x v="25"/>
    <s v="Customer 26"/>
    <x v="0"/>
    <x v="0"/>
    <x v="0"/>
    <s v="No"/>
    <s v="Great service"/>
  </r>
  <r>
    <x v="26"/>
    <s v="Customer 27"/>
    <x v="1"/>
    <x v="1"/>
    <x v="1"/>
    <s v="Yes"/>
    <s v="App crashes"/>
  </r>
  <r>
    <x v="27"/>
    <s v="Customer 28"/>
    <x v="2"/>
    <x v="2"/>
    <x v="0"/>
    <s v="No"/>
    <s v="Slow response"/>
  </r>
  <r>
    <x v="28"/>
    <s v="Customer 29"/>
    <x v="3"/>
    <x v="3"/>
    <x v="1"/>
    <s v="Yes"/>
    <s v="ATM issue"/>
  </r>
  <r>
    <x v="29"/>
    <s v="Customer 30"/>
    <x v="4"/>
    <x v="4"/>
    <x v="0"/>
    <s v="No"/>
    <s v="Helpful staff"/>
  </r>
  <r>
    <x v="30"/>
    <s v="Customer 31"/>
    <x v="0"/>
    <x v="0"/>
    <x v="0"/>
    <s v="No"/>
    <s v="Great service"/>
  </r>
  <r>
    <x v="31"/>
    <s v="Customer 32"/>
    <x v="1"/>
    <x v="1"/>
    <x v="1"/>
    <s v="Yes"/>
    <s v="App crashes"/>
  </r>
  <r>
    <x v="32"/>
    <s v="Customer 33"/>
    <x v="2"/>
    <x v="2"/>
    <x v="0"/>
    <s v="No"/>
    <s v="Slow response"/>
  </r>
  <r>
    <x v="33"/>
    <s v="Customer 34"/>
    <x v="3"/>
    <x v="3"/>
    <x v="1"/>
    <s v="Yes"/>
    <s v="ATM issue"/>
  </r>
  <r>
    <x v="34"/>
    <s v="Customer 35"/>
    <x v="4"/>
    <x v="4"/>
    <x v="0"/>
    <s v="No"/>
    <s v="Helpful staff"/>
  </r>
  <r>
    <x v="35"/>
    <s v="Customer 36"/>
    <x v="0"/>
    <x v="0"/>
    <x v="0"/>
    <s v="No"/>
    <s v="Great service"/>
  </r>
  <r>
    <x v="36"/>
    <s v="Customer 37"/>
    <x v="1"/>
    <x v="1"/>
    <x v="1"/>
    <s v="Yes"/>
    <s v="App crashes"/>
  </r>
  <r>
    <x v="37"/>
    <s v="Customer 38"/>
    <x v="2"/>
    <x v="2"/>
    <x v="0"/>
    <s v="No"/>
    <s v="Slow response"/>
  </r>
  <r>
    <x v="38"/>
    <s v="Customer 39"/>
    <x v="3"/>
    <x v="3"/>
    <x v="1"/>
    <s v="Yes"/>
    <s v="ATM issue"/>
  </r>
  <r>
    <x v="39"/>
    <s v="Customer 40"/>
    <x v="4"/>
    <x v="4"/>
    <x v="0"/>
    <s v="No"/>
    <s v="Helpful staff"/>
  </r>
  <r>
    <x v="40"/>
    <s v="Customer 41"/>
    <x v="0"/>
    <x v="0"/>
    <x v="0"/>
    <s v="No"/>
    <s v="Great service"/>
  </r>
  <r>
    <x v="41"/>
    <s v="Customer 42"/>
    <x v="1"/>
    <x v="1"/>
    <x v="1"/>
    <s v="Yes"/>
    <s v="App crashes"/>
  </r>
  <r>
    <x v="42"/>
    <s v="Customer 43"/>
    <x v="2"/>
    <x v="2"/>
    <x v="0"/>
    <s v="No"/>
    <s v="Slow response"/>
  </r>
  <r>
    <x v="43"/>
    <s v="Customer 44"/>
    <x v="3"/>
    <x v="3"/>
    <x v="1"/>
    <s v="Yes"/>
    <s v="ATM issue"/>
  </r>
  <r>
    <x v="44"/>
    <s v="Customer 45"/>
    <x v="4"/>
    <x v="4"/>
    <x v="0"/>
    <s v="No"/>
    <s v="Helpful staff"/>
  </r>
  <r>
    <x v="45"/>
    <s v="Customer 46"/>
    <x v="0"/>
    <x v="0"/>
    <x v="0"/>
    <s v="No"/>
    <s v="Great service"/>
  </r>
  <r>
    <x v="46"/>
    <s v="Customer 47"/>
    <x v="1"/>
    <x v="1"/>
    <x v="1"/>
    <s v="Yes"/>
    <s v="App crashes"/>
  </r>
  <r>
    <x v="47"/>
    <s v="Customer 48"/>
    <x v="2"/>
    <x v="2"/>
    <x v="0"/>
    <s v="No"/>
    <s v="Slow response"/>
  </r>
  <r>
    <x v="48"/>
    <s v="Customer 49"/>
    <x v="3"/>
    <x v="3"/>
    <x v="1"/>
    <s v="Yes"/>
    <s v="ATM issue"/>
  </r>
  <r>
    <x v="49"/>
    <s v="Customer 50"/>
    <x v="4"/>
    <x v="4"/>
    <x v="0"/>
    <s v="No"/>
    <s v="Helpful staff"/>
  </r>
  <r>
    <x v="50"/>
    <m/>
    <x v="5"/>
    <x v="5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5-01-01T00:00:00"/>
    <s v="Customer 1"/>
    <x v="0"/>
    <x v="0"/>
    <s v="Resolved"/>
    <s v="No"/>
    <s v="Great service"/>
  </r>
  <r>
    <d v="2025-01-02T00:00:00"/>
    <s v="Customer 2"/>
    <x v="1"/>
    <x v="1"/>
    <s v="Open"/>
    <s v="Yes"/>
    <s v="App crashes"/>
  </r>
  <r>
    <d v="2025-01-03T00:00:00"/>
    <s v="Customer 3"/>
    <x v="2"/>
    <x v="2"/>
    <s v="Resolved"/>
    <s v="No"/>
    <s v="Slow response"/>
  </r>
  <r>
    <d v="2025-01-04T00:00:00"/>
    <s v="Customer 4"/>
    <x v="3"/>
    <x v="3"/>
    <s v="Open"/>
    <s v="Yes"/>
    <s v="ATM issue"/>
  </r>
  <r>
    <d v="2025-01-05T00:00:00"/>
    <s v="Customer 5"/>
    <x v="4"/>
    <x v="4"/>
    <s v="Resolved"/>
    <s v="No"/>
    <s v="Helpful staff"/>
  </r>
  <r>
    <d v="2025-01-06T00:00:00"/>
    <s v="Customer 6"/>
    <x v="0"/>
    <x v="0"/>
    <s v="Resolved"/>
    <s v="No"/>
    <s v="Great service"/>
  </r>
  <r>
    <d v="2025-01-07T00:00:00"/>
    <s v="Customer 7"/>
    <x v="1"/>
    <x v="1"/>
    <s v="Open"/>
    <s v="Yes"/>
    <s v="App crashes"/>
  </r>
  <r>
    <d v="2025-01-08T00:00:00"/>
    <s v="Customer 8"/>
    <x v="2"/>
    <x v="2"/>
    <s v="Resolved"/>
    <s v="No"/>
    <s v="Slow response"/>
  </r>
  <r>
    <d v="2025-01-09T00:00:00"/>
    <s v="Customer 9"/>
    <x v="3"/>
    <x v="3"/>
    <s v="Open"/>
    <s v="Yes"/>
    <s v="ATM issue"/>
  </r>
  <r>
    <d v="2025-01-10T00:00:00"/>
    <s v="Customer 10"/>
    <x v="4"/>
    <x v="4"/>
    <s v="Resolved"/>
    <s v="No"/>
    <s v="Helpful staff"/>
  </r>
  <r>
    <d v="2025-01-11T00:00:00"/>
    <s v="Customer 11"/>
    <x v="0"/>
    <x v="0"/>
    <s v="Resolved"/>
    <s v="No"/>
    <s v="Great service"/>
  </r>
  <r>
    <d v="2025-01-12T00:00:00"/>
    <s v="Customer 12"/>
    <x v="1"/>
    <x v="1"/>
    <s v="Open"/>
    <s v="Yes"/>
    <s v="App crashes"/>
  </r>
  <r>
    <d v="2025-01-13T00:00:00"/>
    <s v="Customer 13"/>
    <x v="2"/>
    <x v="2"/>
    <s v="Resolved"/>
    <s v="No"/>
    <s v="Slow response"/>
  </r>
  <r>
    <d v="2025-01-14T00:00:00"/>
    <s v="Customer 14"/>
    <x v="3"/>
    <x v="3"/>
    <s v="Open"/>
    <s v="Yes"/>
    <s v="ATM issue"/>
  </r>
  <r>
    <d v="2025-01-15T00:00:00"/>
    <s v="Customer 15"/>
    <x v="4"/>
    <x v="4"/>
    <s v="Resolved"/>
    <s v="No"/>
    <s v="Helpful staff"/>
  </r>
  <r>
    <d v="2025-01-16T00:00:00"/>
    <s v="Customer 16"/>
    <x v="0"/>
    <x v="0"/>
    <s v="Resolved"/>
    <s v="No"/>
    <s v="Great service"/>
  </r>
  <r>
    <d v="2025-01-17T00:00:00"/>
    <s v="Customer 17"/>
    <x v="1"/>
    <x v="1"/>
    <s v="Open"/>
    <s v="Yes"/>
    <s v="App crashes"/>
  </r>
  <r>
    <d v="2025-01-18T00:00:00"/>
    <s v="Customer 18"/>
    <x v="2"/>
    <x v="2"/>
    <s v="Resolved"/>
    <s v="No"/>
    <s v="Slow response"/>
  </r>
  <r>
    <d v="2025-01-19T00:00:00"/>
    <s v="Customer 19"/>
    <x v="3"/>
    <x v="3"/>
    <s v="Open"/>
    <s v="Yes"/>
    <s v="ATM issue"/>
  </r>
  <r>
    <d v="2025-01-20T00:00:00"/>
    <s v="Customer 20"/>
    <x v="4"/>
    <x v="4"/>
    <s v="Resolved"/>
    <s v="No"/>
    <s v="Helpful staff"/>
  </r>
  <r>
    <d v="2025-01-21T00:00:00"/>
    <s v="Customer 21"/>
    <x v="0"/>
    <x v="0"/>
    <s v="Resolved"/>
    <s v="No"/>
    <s v="Great service"/>
  </r>
  <r>
    <d v="2025-01-22T00:00:00"/>
    <s v="Customer 22"/>
    <x v="1"/>
    <x v="1"/>
    <s v="Open"/>
    <s v="Yes"/>
    <s v="App crashes"/>
  </r>
  <r>
    <d v="2025-01-23T00:00:00"/>
    <s v="Customer 23"/>
    <x v="2"/>
    <x v="2"/>
    <s v="Resolved"/>
    <s v="No"/>
    <s v="Slow response"/>
  </r>
  <r>
    <d v="2025-01-24T00:00:00"/>
    <s v="Customer 24"/>
    <x v="3"/>
    <x v="3"/>
    <s v="Open"/>
    <s v="Yes"/>
    <s v="ATM issue"/>
  </r>
  <r>
    <d v="2025-01-25T00:00:00"/>
    <s v="Customer 25"/>
    <x v="4"/>
    <x v="4"/>
    <s v="Resolved"/>
    <s v="No"/>
    <s v="Helpful staff"/>
  </r>
  <r>
    <d v="2025-01-26T00:00:00"/>
    <s v="Customer 26"/>
    <x v="0"/>
    <x v="0"/>
    <s v="Resolved"/>
    <s v="No"/>
    <s v="Great service"/>
  </r>
  <r>
    <d v="2025-01-27T00:00:00"/>
    <s v="Customer 27"/>
    <x v="1"/>
    <x v="1"/>
    <s v="Open"/>
    <s v="Yes"/>
    <s v="App crashes"/>
  </r>
  <r>
    <d v="2025-01-28T00:00:00"/>
    <s v="Customer 28"/>
    <x v="2"/>
    <x v="2"/>
    <s v="Resolved"/>
    <s v="No"/>
    <s v="Slow response"/>
  </r>
  <r>
    <d v="2025-01-29T00:00:00"/>
    <s v="Customer 29"/>
    <x v="3"/>
    <x v="3"/>
    <s v="Open"/>
    <s v="Yes"/>
    <s v="ATM issue"/>
  </r>
  <r>
    <d v="2025-01-30T00:00:00"/>
    <s v="Customer 30"/>
    <x v="4"/>
    <x v="4"/>
    <s v="Resolved"/>
    <s v="No"/>
    <s v="Helpful staff"/>
  </r>
  <r>
    <d v="2025-01-31T00:00:00"/>
    <s v="Customer 31"/>
    <x v="0"/>
    <x v="0"/>
    <s v="Resolved"/>
    <s v="No"/>
    <s v="Great service"/>
  </r>
  <r>
    <d v="2025-02-01T00:00:00"/>
    <s v="Customer 32"/>
    <x v="1"/>
    <x v="1"/>
    <s v="Open"/>
    <s v="Yes"/>
    <s v="App crashes"/>
  </r>
  <r>
    <d v="2025-02-02T00:00:00"/>
    <s v="Customer 33"/>
    <x v="2"/>
    <x v="2"/>
    <s v="Resolved"/>
    <s v="No"/>
    <s v="Slow response"/>
  </r>
  <r>
    <d v="2025-02-03T00:00:00"/>
    <s v="Customer 34"/>
    <x v="3"/>
    <x v="3"/>
    <s v="Open"/>
    <s v="Yes"/>
    <s v="ATM issue"/>
  </r>
  <r>
    <d v="2025-02-04T00:00:00"/>
    <s v="Customer 35"/>
    <x v="4"/>
    <x v="4"/>
    <s v="Resolved"/>
    <s v="No"/>
    <s v="Helpful staff"/>
  </r>
  <r>
    <d v="2025-02-05T00:00:00"/>
    <s v="Customer 36"/>
    <x v="0"/>
    <x v="0"/>
    <s v="Resolved"/>
    <s v="No"/>
    <s v="Great service"/>
  </r>
  <r>
    <d v="2025-02-06T00:00:00"/>
    <s v="Customer 37"/>
    <x v="1"/>
    <x v="1"/>
    <s v="Open"/>
    <s v="Yes"/>
    <s v="App crashes"/>
  </r>
  <r>
    <d v="2025-02-07T00:00:00"/>
    <s v="Customer 38"/>
    <x v="2"/>
    <x v="2"/>
    <s v="Resolved"/>
    <s v="No"/>
    <s v="Slow response"/>
  </r>
  <r>
    <d v="2025-02-08T00:00:00"/>
    <s v="Customer 39"/>
    <x v="3"/>
    <x v="3"/>
    <s v="Open"/>
    <s v="Yes"/>
    <s v="ATM issue"/>
  </r>
  <r>
    <d v="2025-02-09T00:00:00"/>
    <s v="Customer 40"/>
    <x v="4"/>
    <x v="4"/>
    <s v="Resolved"/>
    <s v="No"/>
    <s v="Helpful staff"/>
  </r>
  <r>
    <d v="2025-02-10T00:00:00"/>
    <s v="Customer 41"/>
    <x v="0"/>
    <x v="0"/>
    <s v="Resolved"/>
    <s v="No"/>
    <s v="Great service"/>
  </r>
  <r>
    <d v="2025-02-11T00:00:00"/>
    <s v="Customer 42"/>
    <x v="1"/>
    <x v="1"/>
    <s v="Open"/>
    <s v="Yes"/>
    <s v="App crashes"/>
  </r>
  <r>
    <d v="2025-02-12T00:00:00"/>
    <s v="Customer 43"/>
    <x v="2"/>
    <x v="2"/>
    <s v="Resolved"/>
    <s v="No"/>
    <s v="Slow response"/>
  </r>
  <r>
    <d v="2025-02-13T00:00:00"/>
    <s v="Customer 44"/>
    <x v="3"/>
    <x v="3"/>
    <s v="Open"/>
    <s v="Yes"/>
    <s v="ATM issue"/>
  </r>
  <r>
    <d v="2025-02-14T00:00:00"/>
    <s v="Customer 45"/>
    <x v="4"/>
    <x v="4"/>
    <s v="Resolved"/>
    <s v="No"/>
    <s v="Helpful staff"/>
  </r>
  <r>
    <d v="2025-02-15T00:00:00"/>
    <s v="Customer 46"/>
    <x v="0"/>
    <x v="0"/>
    <s v="Resolved"/>
    <s v="No"/>
    <s v="Great service"/>
  </r>
  <r>
    <d v="2025-02-16T00:00:00"/>
    <s v="Customer 47"/>
    <x v="1"/>
    <x v="1"/>
    <s v="Open"/>
    <s v="Yes"/>
    <s v="App crashes"/>
  </r>
  <r>
    <d v="2025-02-17T00:00:00"/>
    <s v="Customer 48"/>
    <x v="2"/>
    <x v="2"/>
    <s v="Resolved"/>
    <s v="No"/>
    <s v="Slow response"/>
  </r>
  <r>
    <d v="2025-02-18T00:00:00"/>
    <s v="Customer 49"/>
    <x v="3"/>
    <x v="3"/>
    <s v="Open"/>
    <s v="Yes"/>
    <s v="ATM issue"/>
  </r>
  <r>
    <d v="2025-02-19T00:00:00"/>
    <s v="Customer 50"/>
    <x v="4"/>
    <x v="4"/>
    <s v="Resolved"/>
    <s v="No"/>
    <s v="Helpful staf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88C9C-EEEF-43E5-AFA2-2CBB564925F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G10" firstHeaderRow="1" firstDataRow="2" firstDataCol="1"/>
  <pivotFields count="7">
    <pivotField numFmtId="164"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axis="axisCol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ating (1–5)" fld="3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00C20-2C6B-48D7-83BE-2A310A8947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E11" firstHeaderRow="1" firstDataRow="2" firstDataCol="1"/>
  <pivotFields count="9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Row" showAll="0">
      <items count="7">
        <item x="3"/>
        <item x="4"/>
        <item x="2"/>
        <item x="1"/>
        <item x="0"/>
        <item x="5"/>
        <item t="default"/>
      </items>
    </pivotField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Status" fld="4" subtotal="count" baseField="0" baseItem="0"/>
  </dataFields>
  <chartFormats count="6"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7D28B-1C9B-4187-9223-E0F7FE39F78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9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 Type" fld="2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BA5EE-201D-4EC8-8D98-7C4934F6C1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9" firstHeaderRow="1" firstDataRow="1" firstDataCol="1"/>
  <pivotFields count="9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dataField="1" showAll="0">
      <items count="7">
        <item x="4"/>
        <item x="3"/>
        <item x="2"/>
        <item x="1"/>
        <item x="0"/>
        <item h="1" x="5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ating (1–5)" fld="3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C6AC9-F36C-40F0-9B1D-8A71121D34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9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Row" dataField="1"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eedback Type" fld="2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edback_Data" displayName="Feedback_Data" ref="A1:G51" headerRowDxfId="10" dataDxfId="9" totalsRowDxfId="8">
  <autoFilter ref="A1:G51" xr:uid="{00000000-0009-0000-0100-000001000000}"/>
  <tableColumns count="7">
    <tableColumn id="1" xr3:uid="{00000000-0010-0000-0000-000001000000}" name="Date" dataDxfId="7"/>
    <tableColumn id="2" xr3:uid="{00000000-0010-0000-0000-000002000000}" name="Customer" dataDxfId="6"/>
    <tableColumn id="3" xr3:uid="{00000000-0010-0000-0000-000003000000}" name="Feedback Type" dataDxfId="5"/>
    <tableColumn id="4" xr3:uid="{00000000-0010-0000-0000-000004000000}" name="Rating (1–5)" dataDxfId="4"/>
    <tableColumn id="5" xr3:uid="{00000000-0010-0000-0000-000005000000}" name="Status" dataDxfId="3"/>
    <tableColumn id="6" xr3:uid="{00000000-0010-0000-0000-000006000000}" name="Follow-Up" dataDxfId="2"/>
    <tableColumn id="7" xr3:uid="{00000000-0010-0000-0000-000007000000}" name="Comment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EA9AE7-27E0-4EC2-875B-8DCAF3B63397}" name="Table2" displayName="Table2" ref="I1:J5">
  <autoFilter ref="I1:J5" xr:uid="{09EA9AE7-27E0-4EC2-875B-8DCAF3B63397}"/>
  <tableColumns count="2">
    <tableColumn id="1" xr3:uid="{0C1FF807-82EC-4ACF-9D8F-6F0C1B35B774}" name="Metric" totalsRowLabel="Total"/>
    <tableColumn id="2" xr3:uid="{D35EDD63-84DB-487A-A7F4-FD6649D12F35}" name="Output" totalsRowFunction="sum" dataDxfId="0">
      <calculatedColumnFormula>COUNTA(B:B)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9C88-4ACE-446A-9851-E1B84C42EDAA}">
  <dimension ref="A1"/>
  <sheetViews>
    <sheetView showGridLines="0" showRowColHeaders="0" zoomScale="40" zoomScaleNormal="40" workbookViewId="0">
      <selection activeCell="W9" sqref="W9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98" workbookViewId="0">
      <selection activeCell="I10" sqref="I10"/>
    </sheetView>
  </sheetViews>
  <sheetFormatPr defaultRowHeight="14.5" x14ac:dyDescent="0.35"/>
  <cols>
    <col min="1" max="1" width="17.54296875" style="1" bestFit="1" customWidth="1"/>
    <col min="2" max="2" width="12" style="1" bestFit="1" customWidth="1"/>
    <col min="3" max="3" width="16.54296875" style="1" bestFit="1" customWidth="1"/>
    <col min="4" max="4" width="13.7265625" style="1" bestFit="1" customWidth="1"/>
    <col min="5" max="5" width="9.1796875" style="1"/>
    <col min="6" max="6" width="12.54296875" style="1" bestFit="1" customWidth="1"/>
    <col min="7" max="7" width="14" style="1" bestFit="1" customWidth="1"/>
    <col min="9" max="9" width="23.26953125" bestFit="1" customWidth="1"/>
    <col min="10" max="10" width="10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76</v>
      </c>
      <c r="J1" t="s">
        <v>77</v>
      </c>
    </row>
    <row r="2" spans="1:10" x14ac:dyDescent="0.35">
      <c r="A2" s="2">
        <v>45658</v>
      </c>
      <c r="B2" s="1" t="s">
        <v>7</v>
      </c>
      <c r="C2" s="1" t="s">
        <v>8</v>
      </c>
      <c r="D2" s="1">
        <v>5</v>
      </c>
      <c r="E2" s="1" t="s">
        <v>9</v>
      </c>
      <c r="F2" s="1" t="s">
        <v>10</v>
      </c>
      <c r="G2" s="1" t="s">
        <v>11</v>
      </c>
      <c r="I2" t="s">
        <v>78</v>
      </c>
      <c r="J2">
        <f t="shared" ref="J2" si="0">COUNTA(B:B)</f>
        <v>51</v>
      </c>
    </row>
    <row r="3" spans="1:10" x14ac:dyDescent="0.35">
      <c r="A3" s="2">
        <v>45659</v>
      </c>
      <c r="B3" s="1" t="s">
        <v>12</v>
      </c>
      <c r="C3" s="1" t="s">
        <v>13</v>
      </c>
      <c r="D3" s="1">
        <v>4</v>
      </c>
      <c r="E3" s="1" t="s">
        <v>14</v>
      </c>
      <c r="F3" s="1" t="s">
        <v>15</v>
      </c>
      <c r="G3" s="1" t="s">
        <v>16</v>
      </c>
      <c r="I3" t="s">
        <v>9</v>
      </c>
      <c r="J3" s="3">
        <f>COUNTIF(E:E,E2)/COUNTA(E:E)</f>
        <v>0.58823529411764708</v>
      </c>
    </row>
    <row r="4" spans="1:10" x14ac:dyDescent="0.35">
      <c r="A4" s="2">
        <v>45660</v>
      </c>
      <c r="B4" s="1" t="s">
        <v>17</v>
      </c>
      <c r="C4" s="1" t="s">
        <v>18</v>
      </c>
      <c r="D4" s="1">
        <v>3</v>
      </c>
      <c r="E4" s="1" t="s">
        <v>9</v>
      </c>
      <c r="F4" s="1" t="s">
        <v>10</v>
      </c>
      <c r="G4" s="1" t="s">
        <v>19</v>
      </c>
      <c r="I4" t="s">
        <v>79</v>
      </c>
      <c r="J4">
        <f>AVERAGE(Feedback_Data[Rating (1–5)])</f>
        <v>3</v>
      </c>
    </row>
    <row r="5" spans="1:10" x14ac:dyDescent="0.35">
      <c r="A5" s="2">
        <v>45661</v>
      </c>
      <c r="B5" s="1" t="s">
        <v>20</v>
      </c>
      <c r="C5" s="1" t="s">
        <v>21</v>
      </c>
      <c r="D5" s="1">
        <v>2</v>
      </c>
      <c r="E5" s="1" t="s">
        <v>14</v>
      </c>
      <c r="F5" s="1" t="s">
        <v>15</v>
      </c>
      <c r="G5" s="1" t="s">
        <v>22</v>
      </c>
      <c r="I5" t="s">
        <v>80</v>
      </c>
      <c r="J5" s="4">
        <f>COUNTIF(Feedback_Data[Follow-Up],"Yes") / COUNTA(Feedback_Data[Follow-Up])</f>
        <v>0.4</v>
      </c>
    </row>
    <row r="6" spans="1:10" x14ac:dyDescent="0.35">
      <c r="A6" s="2">
        <v>45662</v>
      </c>
      <c r="B6" s="1" t="s">
        <v>23</v>
      </c>
      <c r="C6" s="1" t="s">
        <v>24</v>
      </c>
      <c r="D6" s="1">
        <v>1</v>
      </c>
      <c r="E6" s="1" t="s">
        <v>9</v>
      </c>
      <c r="F6" s="1" t="s">
        <v>10</v>
      </c>
      <c r="G6" s="1" t="s">
        <v>25</v>
      </c>
    </row>
    <row r="7" spans="1:10" x14ac:dyDescent="0.35">
      <c r="A7" s="2">
        <v>45663</v>
      </c>
      <c r="B7" s="1" t="s">
        <v>26</v>
      </c>
      <c r="C7" s="1" t="s">
        <v>8</v>
      </c>
      <c r="D7" s="1">
        <v>5</v>
      </c>
      <c r="E7" s="1" t="s">
        <v>9</v>
      </c>
      <c r="F7" s="1" t="s">
        <v>10</v>
      </c>
      <c r="G7" s="1" t="s">
        <v>11</v>
      </c>
    </row>
    <row r="8" spans="1:10" x14ac:dyDescent="0.35">
      <c r="A8" s="2">
        <v>45664</v>
      </c>
      <c r="B8" s="1" t="s">
        <v>27</v>
      </c>
      <c r="C8" s="1" t="s">
        <v>13</v>
      </c>
      <c r="D8" s="1">
        <v>4</v>
      </c>
      <c r="E8" s="1" t="s">
        <v>14</v>
      </c>
      <c r="F8" s="1" t="s">
        <v>15</v>
      </c>
      <c r="G8" s="1" t="s">
        <v>16</v>
      </c>
    </row>
    <row r="9" spans="1:10" x14ac:dyDescent="0.35">
      <c r="A9" s="2">
        <v>45665</v>
      </c>
      <c r="B9" s="1" t="s">
        <v>28</v>
      </c>
      <c r="C9" s="1" t="s">
        <v>18</v>
      </c>
      <c r="D9" s="1">
        <v>3</v>
      </c>
      <c r="E9" s="1" t="s">
        <v>9</v>
      </c>
      <c r="F9" s="1" t="s">
        <v>10</v>
      </c>
      <c r="G9" s="1" t="s">
        <v>19</v>
      </c>
    </row>
    <row r="10" spans="1:10" x14ac:dyDescent="0.35">
      <c r="A10" s="2">
        <v>45666</v>
      </c>
      <c r="B10" s="1" t="s">
        <v>29</v>
      </c>
      <c r="C10" s="1" t="s">
        <v>21</v>
      </c>
      <c r="D10" s="1">
        <v>2</v>
      </c>
      <c r="E10" s="1" t="s">
        <v>14</v>
      </c>
      <c r="F10" s="1" t="s">
        <v>15</v>
      </c>
      <c r="G10" s="1" t="s">
        <v>22</v>
      </c>
    </row>
    <row r="11" spans="1:10" x14ac:dyDescent="0.35">
      <c r="A11" s="2">
        <v>45667</v>
      </c>
      <c r="B11" s="1" t="s">
        <v>30</v>
      </c>
      <c r="C11" s="1" t="s">
        <v>24</v>
      </c>
      <c r="D11" s="1">
        <v>1</v>
      </c>
      <c r="E11" s="1" t="s">
        <v>9</v>
      </c>
      <c r="F11" s="1" t="s">
        <v>10</v>
      </c>
      <c r="G11" s="1" t="s">
        <v>25</v>
      </c>
    </row>
    <row r="12" spans="1:10" x14ac:dyDescent="0.35">
      <c r="A12" s="2">
        <v>45668</v>
      </c>
      <c r="B12" s="1" t="s">
        <v>31</v>
      </c>
      <c r="C12" s="1" t="s">
        <v>8</v>
      </c>
      <c r="D12" s="1">
        <v>5</v>
      </c>
      <c r="E12" s="1" t="s">
        <v>9</v>
      </c>
      <c r="F12" s="1" t="s">
        <v>10</v>
      </c>
      <c r="G12" s="1" t="s">
        <v>11</v>
      </c>
    </row>
    <row r="13" spans="1:10" x14ac:dyDescent="0.35">
      <c r="A13" s="2">
        <v>45669</v>
      </c>
      <c r="B13" s="1" t="s">
        <v>32</v>
      </c>
      <c r="C13" s="1" t="s">
        <v>13</v>
      </c>
      <c r="D13" s="1">
        <v>4</v>
      </c>
      <c r="E13" s="1" t="s">
        <v>14</v>
      </c>
      <c r="F13" s="1" t="s">
        <v>15</v>
      </c>
      <c r="G13" s="1" t="s">
        <v>16</v>
      </c>
    </row>
    <row r="14" spans="1:10" x14ac:dyDescent="0.35">
      <c r="A14" s="2">
        <v>45670</v>
      </c>
      <c r="B14" s="1" t="s">
        <v>33</v>
      </c>
      <c r="C14" s="1" t="s">
        <v>18</v>
      </c>
      <c r="D14" s="1">
        <v>3</v>
      </c>
      <c r="E14" s="1" t="s">
        <v>9</v>
      </c>
      <c r="F14" s="1" t="s">
        <v>10</v>
      </c>
      <c r="G14" s="1" t="s">
        <v>19</v>
      </c>
    </row>
    <row r="15" spans="1:10" x14ac:dyDescent="0.35">
      <c r="A15" s="2">
        <v>45671</v>
      </c>
      <c r="B15" s="1" t="s">
        <v>34</v>
      </c>
      <c r="C15" s="1" t="s">
        <v>21</v>
      </c>
      <c r="D15" s="1">
        <v>2</v>
      </c>
      <c r="E15" s="1" t="s">
        <v>14</v>
      </c>
      <c r="F15" s="1" t="s">
        <v>15</v>
      </c>
      <c r="G15" s="1" t="s">
        <v>22</v>
      </c>
    </row>
    <row r="16" spans="1:10" x14ac:dyDescent="0.35">
      <c r="A16" s="2">
        <v>45672</v>
      </c>
      <c r="B16" s="1" t="s">
        <v>35</v>
      </c>
      <c r="C16" s="1" t="s">
        <v>24</v>
      </c>
      <c r="D16" s="1">
        <v>1</v>
      </c>
      <c r="E16" s="1" t="s">
        <v>9</v>
      </c>
      <c r="F16" s="1" t="s">
        <v>10</v>
      </c>
      <c r="G16" s="1" t="s">
        <v>25</v>
      </c>
    </row>
    <row r="17" spans="1:7" x14ac:dyDescent="0.35">
      <c r="A17" s="2">
        <v>45673</v>
      </c>
      <c r="B17" s="1" t="s">
        <v>36</v>
      </c>
      <c r="C17" s="1" t="s">
        <v>8</v>
      </c>
      <c r="D17" s="1">
        <v>5</v>
      </c>
      <c r="E17" s="1" t="s">
        <v>9</v>
      </c>
      <c r="F17" s="1" t="s">
        <v>10</v>
      </c>
      <c r="G17" s="1" t="s">
        <v>11</v>
      </c>
    </row>
    <row r="18" spans="1:7" x14ac:dyDescent="0.35">
      <c r="A18" s="2">
        <v>45674</v>
      </c>
      <c r="B18" s="1" t="s">
        <v>37</v>
      </c>
      <c r="C18" s="1" t="s">
        <v>13</v>
      </c>
      <c r="D18" s="1">
        <v>4</v>
      </c>
      <c r="E18" s="1" t="s">
        <v>14</v>
      </c>
      <c r="F18" s="1" t="s">
        <v>15</v>
      </c>
      <c r="G18" s="1" t="s">
        <v>16</v>
      </c>
    </row>
    <row r="19" spans="1:7" x14ac:dyDescent="0.35">
      <c r="A19" s="2">
        <v>45675</v>
      </c>
      <c r="B19" s="1" t="s">
        <v>38</v>
      </c>
      <c r="C19" s="1" t="s">
        <v>18</v>
      </c>
      <c r="D19" s="1">
        <v>3</v>
      </c>
      <c r="E19" s="1" t="s">
        <v>9</v>
      </c>
      <c r="F19" s="1" t="s">
        <v>10</v>
      </c>
      <c r="G19" s="1" t="s">
        <v>19</v>
      </c>
    </row>
    <row r="20" spans="1:7" x14ac:dyDescent="0.35">
      <c r="A20" s="2">
        <v>45676</v>
      </c>
      <c r="B20" s="1" t="s">
        <v>39</v>
      </c>
      <c r="C20" s="1" t="s">
        <v>21</v>
      </c>
      <c r="D20" s="1">
        <v>2</v>
      </c>
      <c r="E20" s="1" t="s">
        <v>14</v>
      </c>
      <c r="F20" s="1" t="s">
        <v>15</v>
      </c>
      <c r="G20" s="1" t="s">
        <v>22</v>
      </c>
    </row>
    <row r="21" spans="1:7" x14ac:dyDescent="0.35">
      <c r="A21" s="2">
        <v>45677</v>
      </c>
      <c r="B21" s="1" t="s">
        <v>40</v>
      </c>
      <c r="C21" s="1" t="s">
        <v>24</v>
      </c>
      <c r="D21" s="1">
        <v>1</v>
      </c>
      <c r="E21" s="1" t="s">
        <v>9</v>
      </c>
      <c r="F21" s="1" t="s">
        <v>10</v>
      </c>
      <c r="G21" s="1" t="s">
        <v>25</v>
      </c>
    </row>
    <row r="22" spans="1:7" x14ac:dyDescent="0.35">
      <c r="A22" s="2">
        <v>45678</v>
      </c>
      <c r="B22" s="1" t="s">
        <v>41</v>
      </c>
      <c r="C22" s="1" t="s">
        <v>8</v>
      </c>
      <c r="D22" s="1">
        <v>5</v>
      </c>
      <c r="E22" s="1" t="s">
        <v>9</v>
      </c>
      <c r="F22" s="1" t="s">
        <v>10</v>
      </c>
      <c r="G22" s="1" t="s">
        <v>11</v>
      </c>
    </row>
    <row r="23" spans="1:7" x14ac:dyDescent="0.35">
      <c r="A23" s="2">
        <v>45679</v>
      </c>
      <c r="B23" s="1" t="s">
        <v>42</v>
      </c>
      <c r="C23" s="1" t="s">
        <v>13</v>
      </c>
      <c r="D23" s="1">
        <v>4</v>
      </c>
      <c r="E23" s="1" t="s">
        <v>14</v>
      </c>
      <c r="F23" s="1" t="s">
        <v>15</v>
      </c>
      <c r="G23" s="1" t="s">
        <v>16</v>
      </c>
    </row>
    <row r="24" spans="1:7" x14ac:dyDescent="0.35">
      <c r="A24" s="2">
        <v>45680</v>
      </c>
      <c r="B24" s="1" t="s">
        <v>43</v>
      </c>
      <c r="C24" s="1" t="s">
        <v>18</v>
      </c>
      <c r="D24" s="1">
        <v>3</v>
      </c>
      <c r="E24" s="1" t="s">
        <v>9</v>
      </c>
      <c r="F24" s="1" t="s">
        <v>10</v>
      </c>
      <c r="G24" s="1" t="s">
        <v>19</v>
      </c>
    </row>
    <row r="25" spans="1:7" x14ac:dyDescent="0.35">
      <c r="A25" s="2">
        <v>45681</v>
      </c>
      <c r="B25" s="1" t="s">
        <v>44</v>
      </c>
      <c r="C25" s="1" t="s">
        <v>21</v>
      </c>
      <c r="D25" s="1">
        <v>2</v>
      </c>
      <c r="E25" s="1" t="s">
        <v>14</v>
      </c>
      <c r="F25" s="1" t="s">
        <v>15</v>
      </c>
      <c r="G25" s="1" t="s">
        <v>22</v>
      </c>
    </row>
    <row r="26" spans="1:7" x14ac:dyDescent="0.35">
      <c r="A26" s="2">
        <v>45682</v>
      </c>
      <c r="B26" s="1" t="s">
        <v>45</v>
      </c>
      <c r="C26" s="1" t="s">
        <v>24</v>
      </c>
      <c r="D26" s="1">
        <v>1</v>
      </c>
      <c r="E26" s="1" t="s">
        <v>9</v>
      </c>
      <c r="F26" s="1" t="s">
        <v>10</v>
      </c>
      <c r="G26" s="1" t="s">
        <v>25</v>
      </c>
    </row>
    <row r="27" spans="1:7" x14ac:dyDescent="0.35">
      <c r="A27" s="2">
        <v>45683</v>
      </c>
      <c r="B27" s="1" t="s">
        <v>46</v>
      </c>
      <c r="C27" s="1" t="s">
        <v>8</v>
      </c>
      <c r="D27" s="1">
        <v>5</v>
      </c>
      <c r="E27" s="1" t="s">
        <v>9</v>
      </c>
      <c r="F27" s="1" t="s">
        <v>10</v>
      </c>
      <c r="G27" s="1" t="s">
        <v>11</v>
      </c>
    </row>
    <row r="28" spans="1:7" x14ac:dyDescent="0.35">
      <c r="A28" s="2">
        <v>45684</v>
      </c>
      <c r="B28" s="1" t="s">
        <v>47</v>
      </c>
      <c r="C28" s="1" t="s">
        <v>13</v>
      </c>
      <c r="D28" s="1">
        <v>4</v>
      </c>
      <c r="E28" s="1" t="s">
        <v>14</v>
      </c>
      <c r="F28" s="1" t="s">
        <v>15</v>
      </c>
      <c r="G28" s="1" t="s">
        <v>16</v>
      </c>
    </row>
    <row r="29" spans="1:7" x14ac:dyDescent="0.35">
      <c r="A29" s="2">
        <v>45685</v>
      </c>
      <c r="B29" s="1" t="s">
        <v>48</v>
      </c>
      <c r="C29" s="1" t="s">
        <v>18</v>
      </c>
      <c r="D29" s="1">
        <v>3</v>
      </c>
      <c r="E29" s="1" t="s">
        <v>9</v>
      </c>
      <c r="F29" s="1" t="s">
        <v>10</v>
      </c>
      <c r="G29" s="1" t="s">
        <v>19</v>
      </c>
    </row>
    <row r="30" spans="1:7" x14ac:dyDescent="0.35">
      <c r="A30" s="2">
        <v>45686</v>
      </c>
      <c r="B30" s="1" t="s">
        <v>49</v>
      </c>
      <c r="C30" s="1" t="s">
        <v>21</v>
      </c>
      <c r="D30" s="1">
        <v>2</v>
      </c>
      <c r="E30" s="1" t="s">
        <v>14</v>
      </c>
      <c r="F30" s="1" t="s">
        <v>15</v>
      </c>
      <c r="G30" s="1" t="s">
        <v>22</v>
      </c>
    </row>
    <row r="31" spans="1:7" x14ac:dyDescent="0.35">
      <c r="A31" s="2">
        <v>45687</v>
      </c>
      <c r="B31" s="1" t="s">
        <v>50</v>
      </c>
      <c r="C31" s="1" t="s">
        <v>24</v>
      </c>
      <c r="D31" s="1">
        <v>1</v>
      </c>
      <c r="E31" s="1" t="s">
        <v>9</v>
      </c>
      <c r="F31" s="1" t="s">
        <v>10</v>
      </c>
      <c r="G31" s="1" t="s">
        <v>25</v>
      </c>
    </row>
    <row r="32" spans="1:7" x14ac:dyDescent="0.35">
      <c r="A32" s="2">
        <v>45688</v>
      </c>
      <c r="B32" s="1" t="s">
        <v>51</v>
      </c>
      <c r="C32" s="1" t="s">
        <v>8</v>
      </c>
      <c r="D32" s="1">
        <v>5</v>
      </c>
      <c r="E32" s="1" t="s">
        <v>9</v>
      </c>
      <c r="F32" s="1" t="s">
        <v>10</v>
      </c>
      <c r="G32" s="1" t="s">
        <v>11</v>
      </c>
    </row>
    <row r="33" spans="1:7" x14ac:dyDescent="0.35">
      <c r="A33" s="2">
        <v>45689</v>
      </c>
      <c r="B33" s="1" t="s">
        <v>52</v>
      </c>
      <c r="C33" s="1" t="s">
        <v>13</v>
      </c>
      <c r="D33" s="1">
        <v>4</v>
      </c>
      <c r="E33" s="1" t="s">
        <v>14</v>
      </c>
      <c r="F33" s="1" t="s">
        <v>15</v>
      </c>
      <c r="G33" s="1" t="s">
        <v>16</v>
      </c>
    </row>
    <row r="34" spans="1:7" x14ac:dyDescent="0.35">
      <c r="A34" s="2">
        <v>45690</v>
      </c>
      <c r="B34" s="1" t="s">
        <v>53</v>
      </c>
      <c r="C34" s="1" t="s">
        <v>18</v>
      </c>
      <c r="D34" s="1">
        <v>3</v>
      </c>
      <c r="E34" s="1" t="s">
        <v>9</v>
      </c>
      <c r="F34" s="1" t="s">
        <v>10</v>
      </c>
      <c r="G34" s="1" t="s">
        <v>19</v>
      </c>
    </row>
    <row r="35" spans="1:7" x14ac:dyDescent="0.35">
      <c r="A35" s="2">
        <v>45691</v>
      </c>
      <c r="B35" s="1" t="s">
        <v>54</v>
      </c>
      <c r="C35" s="1" t="s">
        <v>21</v>
      </c>
      <c r="D35" s="1">
        <v>2</v>
      </c>
      <c r="E35" s="1" t="s">
        <v>14</v>
      </c>
      <c r="F35" s="1" t="s">
        <v>15</v>
      </c>
      <c r="G35" s="1" t="s">
        <v>22</v>
      </c>
    </row>
    <row r="36" spans="1:7" x14ac:dyDescent="0.35">
      <c r="A36" s="2">
        <v>45692</v>
      </c>
      <c r="B36" s="1" t="s">
        <v>55</v>
      </c>
      <c r="C36" s="1" t="s">
        <v>24</v>
      </c>
      <c r="D36" s="1">
        <v>1</v>
      </c>
      <c r="E36" s="1" t="s">
        <v>9</v>
      </c>
      <c r="F36" s="1" t="s">
        <v>10</v>
      </c>
      <c r="G36" s="1" t="s">
        <v>25</v>
      </c>
    </row>
    <row r="37" spans="1:7" x14ac:dyDescent="0.35">
      <c r="A37" s="2">
        <v>45693</v>
      </c>
      <c r="B37" s="1" t="s">
        <v>56</v>
      </c>
      <c r="C37" s="1" t="s">
        <v>8</v>
      </c>
      <c r="D37" s="1">
        <v>5</v>
      </c>
      <c r="E37" s="1" t="s">
        <v>9</v>
      </c>
      <c r="F37" s="1" t="s">
        <v>10</v>
      </c>
      <c r="G37" s="1" t="s">
        <v>11</v>
      </c>
    </row>
    <row r="38" spans="1:7" x14ac:dyDescent="0.35">
      <c r="A38" s="2">
        <v>45694</v>
      </c>
      <c r="B38" s="1" t="s">
        <v>57</v>
      </c>
      <c r="C38" s="1" t="s">
        <v>13</v>
      </c>
      <c r="D38" s="1">
        <v>4</v>
      </c>
      <c r="E38" s="1" t="s">
        <v>14</v>
      </c>
      <c r="F38" s="1" t="s">
        <v>15</v>
      </c>
      <c r="G38" s="1" t="s">
        <v>16</v>
      </c>
    </row>
    <row r="39" spans="1:7" x14ac:dyDescent="0.35">
      <c r="A39" s="2">
        <v>45695</v>
      </c>
      <c r="B39" s="1" t="s">
        <v>58</v>
      </c>
      <c r="C39" s="1" t="s">
        <v>18</v>
      </c>
      <c r="D39" s="1">
        <v>3</v>
      </c>
      <c r="E39" s="1" t="s">
        <v>9</v>
      </c>
      <c r="F39" s="1" t="s">
        <v>10</v>
      </c>
      <c r="G39" s="1" t="s">
        <v>19</v>
      </c>
    </row>
    <row r="40" spans="1:7" x14ac:dyDescent="0.35">
      <c r="A40" s="2">
        <v>45696</v>
      </c>
      <c r="B40" s="1" t="s">
        <v>59</v>
      </c>
      <c r="C40" s="1" t="s">
        <v>21</v>
      </c>
      <c r="D40" s="1">
        <v>2</v>
      </c>
      <c r="E40" s="1" t="s">
        <v>14</v>
      </c>
      <c r="F40" s="1" t="s">
        <v>15</v>
      </c>
      <c r="G40" s="1" t="s">
        <v>22</v>
      </c>
    </row>
    <row r="41" spans="1:7" x14ac:dyDescent="0.35">
      <c r="A41" s="2">
        <v>45697</v>
      </c>
      <c r="B41" s="1" t="s">
        <v>60</v>
      </c>
      <c r="C41" s="1" t="s">
        <v>24</v>
      </c>
      <c r="D41" s="1">
        <v>1</v>
      </c>
      <c r="E41" s="1" t="s">
        <v>9</v>
      </c>
      <c r="F41" s="1" t="s">
        <v>10</v>
      </c>
      <c r="G41" s="1" t="s">
        <v>25</v>
      </c>
    </row>
    <row r="42" spans="1:7" x14ac:dyDescent="0.35">
      <c r="A42" s="2">
        <v>45698</v>
      </c>
      <c r="B42" s="1" t="s">
        <v>61</v>
      </c>
      <c r="C42" s="1" t="s">
        <v>8</v>
      </c>
      <c r="D42" s="1">
        <v>5</v>
      </c>
      <c r="E42" s="1" t="s">
        <v>9</v>
      </c>
      <c r="F42" s="1" t="s">
        <v>10</v>
      </c>
      <c r="G42" s="1" t="s">
        <v>11</v>
      </c>
    </row>
    <row r="43" spans="1:7" x14ac:dyDescent="0.35">
      <c r="A43" s="2">
        <v>45699</v>
      </c>
      <c r="B43" s="1" t="s">
        <v>62</v>
      </c>
      <c r="C43" s="1" t="s">
        <v>13</v>
      </c>
      <c r="D43" s="1">
        <v>4</v>
      </c>
      <c r="E43" s="1" t="s">
        <v>14</v>
      </c>
      <c r="F43" s="1" t="s">
        <v>15</v>
      </c>
      <c r="G43" s="1" t="s">
        <v>16</v>
      </c>
    </row>
    <row r="44" spans="1:7" x14ac:dyDescent="0.35">
      <c r="A44" s="2">
        <v>45700</v>
      </c>
      <c r="B44" s="1" t="s">
        <v>63</v>
      </c>
      <c r="C44" s="1" t="s">
        <v>18</v>
      </c>
      <c r="D44" s="1">
        <v>3</v>
      </c>
      <c r="E44" s="1" t="s">
        <v>9</v>
      </c>
      <c r="F44" s="1" t="s">
        <v>10</v>
      </c>
      <c r="G44" s="1" t="s">
        <v>19</v>
      </c>
    </row>
    <row r="45" spans="1:7" x14ac:dyDescent="0.35">
      <c r="A45" s="2">
        <v>45701</v>
      </c>
      <c r="B45" s="1" t="s">
        <v>64</v>
      </c>
      <c r="C45" s="1" t="s">
        <v>21</v>
      </c>
      <c r="D45" s="1">
        <v>2</v>
      </c>
      <c r="E45" s="1" t="s">
        <v>14</v>
      </c>
      <c r="F45" s="1" t="s">
        <v>15</v>
      </c>
      <c r="G45" s="1" t="s">
        <v>22</v>
      </c>
    </row>
    <row r="46" spans="1:7" x14ac:dyDescent="0.35">
      <c r="A46" s="2">
        <v>45702</v>
      </c>
      <c r="B46" s="1" t="s">
        <v>65</v>
      </c>
      <c r="C46" s="1" t="s">
        <v>24</v>
      </c>
      <c r="D46" s="1">
        <v>1</v>
      </c>
      <c r="E46" s="1" t="s">
        <v>9</v>
      </c>
      <c r="F46" s="1" t="s">
        <v>10</v>
      </c>
      <c r="G46" s="1" t="s">
        <v>25</v>
      </c>
    </row>
    <row r="47" spans="1:7" x14ac:dyDescent="0.35">
      <c r="A47" s="2">
        <v>45703</v>
      </c>
      <c r="B47" s="1" t="s">
        <v>66</v>
      </c>
      <c r="C47" s="1" t="s">
        <v>8</v>
      </c>
      <c r="D47" s="1">
        <v>5</v>
      </c>
      <c r="E47" s="1" t="s">
        <v>9</v>
      </c>
      <c r="F47" s="1" t="s">
        <v>10</v>
      </c>
      <c r="G47" s="1" t="s">
        <v>11</v>
      </c>
    </row>
    <row r="48" spans="1:7" x14ac:dyDescent="0.35">
      <c r="A48" s="2">
        <v>45704</v>
      </c>
      <c r="B48" s="1" t="s">
        <v>67</v>
      </c>
      <c r="C48" s="1" t="s">
        <v>13</v>
      </c>
      <c r="D48" s="1">
        <v>4</v>
      </c>
      <c r="E48" s="1" t="s">
        <v>14</v>
      </c>
      <c r="F48" s="1" t="s">
        <v>15</v>
      </c>
      <c r="G48" s="1" t="s">
        <v>16</v>
      </c>
    </row>
    <row r="49" spans="1:7" x14ac:dyDescent="0.35">
      <c r="A49" s="2">
        <v>45705</v>
      </c>
      <c r="B49" s="1" t="s">
        <v>68</v>
      </c>
      <c r="C49" s="1" t="s">
        <v>18</v>
      </c>
      <c r="D49" s="1">
        <v>3</v>
      </c>
      <c r="E49" s="1" t="s">
        <v>9</v>
      </c>
      <c r="F49" s="1" t="s">
        <v>10</v>
      </c>
      <c r="G49" s="1" t="s">
        <v>19</v>
      </c>
    </row>
    <row r="50" spans="1:7" x14ac:dyDescent="0.35">
      <c r="A50" s="2">
        <v>45706</v>
      </c>
      <c r="B50" s="1" t="s">
        <v>69</v>
      </c>
      <c r="C50" s="1" t="s">
        <v>21</v>
      </c>
      <c r="D50" s="1">
        <v>2</v>
      </c>
      <c r="E50" s="1" t="s">
        <v>14</v>
      </c>
      <c r="F50" s="1" t="s">
        <v>15</v>
      </c>
      <c r="G50" s="1" t="s">
        <v>22</v>
      </c>
    </row>
    <row r="51" spans="1:7" x14ac:dyDescent="0.35">
      <c r="A51" s="2">
        <v>45707</v>
      </c>
      <c r="B51" s="1" t="s">
        <v>70</v>
      </c>
      <c r="C51" s="1" t="s">
        <v>24</v>
      </c>
      <c r="D51" s="1">
        <v>1</v>
      </c>
      <c r="E51" s="1" t="s">
        <v>9</v>
      </c>
      <c r="F51" s="1" t="s">
        <v>10</v>
      </c>
      <c r="G51" s="1" t="s">
        <v>25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P10"/>
  <sheetViews>
    <sheetView showGridLines="0" showRowColHeaders="0" zoomScale="57" zoomScaleNormal="100" workbookViewId="0">
      <selection activeCell="G13" sqref="G13"/>
    </sheetView>
  </sheetViews>
  <sheetFormatPr defaultRowHeight="14.5" x14ac:dyDescent="0.35"/>
  <sheetData>
    <row r="10" spans="16:16" x14ac:dyDescent="0.35">
      <c r="P10" t="s">
        <v>90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A662-7BF5-4680-92FB-AA13B06AE516}">
  <dimension ref="A3:G10"/>
  <sheetViews>
    <sheetView workbookViewId="0">
      <selection activeCell="A3" sqref="A3:G10"/>
    </sheetView>
  </sheetViews>
  <sheetFormatPr defaultRowHeight="14.5" x14ac:dyDescent="0.35"/>
  <cols>
    <col min="1" max="1" width="17.26953125" bestFit="1" customWidth="1"/>
    <col min="2" max="2" width="15.26953125" bestFit="1" customWidth="1"/>
    <col min="3" max="6" width="2.81640625" bestFit="1" customWidth="1"/>
    <col min="7" max="7" width="10.7265625" bestFit="1" customWidth="1"/>
  </cols>
  <sheetData>
    <row r="3" spans="1:7" x14ac:dyDescent="0.35">
      <c r="A3" s="5" t="s">
        <v>85</v>
      </c>
      <c r="B3" s="5" t="s">
        <v>84</v>
      </c>
    </row>
    <row r="4" spans="1:7" x14ac:dyDescent="0.35">
      <c r="A4" s="5" t="s">
        <v>81</v>
      </c>
      <c r="B4">
        <v>1</v>
      </c>
      <c r="C4">
        <v>2</v>
      </c>
      <c r="D4">
        <v>3</v>
      </c>
      <c r="E4">
        <v>4</v>
      </c>
      <c r="F4">
        <v>5</v>
      </c>
      <c r="G4" t="s">
        <v>83</v>
      </c>
    </row>
    <row r="5" spans="1:7" x14ac:dyDescent="0.35">
      <c r="A5" s="1" t="s">
        <v>21</v>
      </c>
      <c r="C5">
        <v>20</v>
      </c>
      <c r="G5">
        <v>20</v>
      </c>
    </row>
    <row r="6" spans="1:7" x14ac:dyDescent="0.35">
      <c r="A6" s="1" t="s">
        <v>24</v>
      </c>
      <c r="B6">
        <v>10</v>
      </c>
      <c r="G6">
        <v>10</v>
      </c>
    </row>
    <row r="7" spans="1:7" x14ac:dyDescent="0.35">
      <c r="A7" s="1" t="s">
        <v>18</v>
      </c>
      <c r="D7">
        <v>30</v>
      </c>
      <c r="G7">
        <v>30</v>
      </c>
    </row>
    <row r="8" spans="1:7" x14ac:dyDescent="0.35">
      <c r="A8" s="1" t="s">
        <v>13</v>
      </c>
      <c r="E8">
        <v>40</v>
      </c>
      <c r="G8">
        <v>40</v>
      </c>
    </row>
    <row r="9" spans="1:7" x14ac:dyDescent="0.35">
      <c r="A9" s="1" t="s">
        <v>8</v>
      </c>
      <c r="F9">
        <v>50</v>
      </c>
      <c r="G9">
        <v>50</v>
      </c>
    </row>
    <row r="10" spans="1:7" x14ac:dyDescent="0.35">
      <c r="A10" s="1" t="s">
        <v>83</v>
      </c>
      <c r="B10">
        <v>10</v>
      </c>
      <c r="C10">
        <v>20</v>
      </c>
      <c r="D10">
        <v>30</v>
      </c>
      <c r="E10">
        <v>40</v>
      </c>
      <c r="F10">
        <v>50</v>
      </c>
      <c r="G10">
        <v>150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8094-975F-493C-8312-B6FA907BA9A5}">
  <dimension ref="A3:E11"/>
  <sheetViews>
    <sheetView workbookViewId="0">
      <selection activeCell="A3" sqref="A3"/>
    </sheetView>
  </sheetViews>
  <sheetFormatPr defaultRowHeight="14.5" x14ac:dyDescent="0.35"/>
  <cols>
    <col min="1" max="1" width="14.54296875" bestFit="1" customWidth="1"/>
    <col min="2" max="2" width="16.26953125" bestFit="1" customWidth="1"/>
    <col min="3" max="3" width="9.1796875" bestFit="1" customWidth="1"/>
    <col min="4" max="4" width="7.26953125" bestFit="1" customWidth="1"/>
    <col min="5" max="5" width="11.26953125" bestFit="1" customWidth="1"/>
  </cols>
  <sheetData>
    <row r="3" spans="1:5" x14ac:dyDescent="0.35">
      <c r="A3" s="5" t="s">
        <v>89</v>
      </c>
      <c r="B3" s="5" t="s">
        <v>84</v>
      </c>
    </row>
    <row r="4" spans="1:5" x14ac:dyDescent="0.35">
      <c r="A4" s="5" t="s">
        <v>81</v>
      </c>
      <c r="B4" t="s">
        <v>14</v>
      </c>
      <c r="C4" t="s">
        <v>9</v>
      </c>
      <c r="D4" t="s">
        <v>82</v>
      </c>
      <c r="E4" t="s">
        <v>83</v>
      </c>
    </row>
    <row r="5" spans="1:5" x14ac:dyDescent="0.35">
      <c r="A5" s="1" t="s">
        <v>21</v>
      </c>
      <c r="B5">
        <v>10</v>
      </c>
      <c r="E5">
        <v>10</v>
      </c>
    </row>
    <row r="6" spans="1:5" x14ac:dyDescent="0.35">
      <c r="A6" s="1" t="s">
        <v>24</v>
      </c>
      <c r="C6">
        <v>10</v>
      </c>
      <c r="E6">
        <v>10</v>
      </c>
    </row>
    <row r="7" spans="1:5" x14ac:dyDescent="0.35">
      <c r="A7" s="1" t="s">
        <v>18</v>
      </c>
      <c r="C7">
        <v>10</v>
      </c>
      <c r="E7">
        <v>10</v>
      </c>
    </row>
    <row r="8" spans="1:5" x14ac:dyDescent="0.35">
      <c r="A8" s="1" t="s">
        <v>13</v>
      </c>
      <c r="B8">
        <v>10</v>
      </c>
      <c r="E8">
        <v>10</v>
      </c>
    </row>
    <row r="9" spans="1:5" x14ac:dyDescent="0.35">
      <c r="A9" s="1" t="s">
        <v>8</v>
      </c>
      <c r="C9">
        <v>10</v>
      </c>
      <c r="E9">
        <v>10</v>
      </c>
    </row>
    <row r="10" spans="1:5" x14ac:dyDescent="0.35">
      <c r="A10" s="1" t="s">
        <v>82</v>
      </c>
    </row>
    <row r="11" spans="1:5" x14ac:dyDescent="0.35">
      <c r="A11" s="1" t="s">
        <v>83</v>
      </c>
      <c r="B11">
        <v>20</v>
      </c>
      <c r="C11">
        <v>30</v>
      </c>
      <c r="E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C04F-660D-4125-B406-9D845FBC3A12}">
  <dimension ref="A3:B7"/>
  <sheetViews>
    <sheetView workbookViewId="0">
      <selection activeCell="B4" sqref="B4"/>
    </sheetView>
  </sheetViews>
  <sheetFormatPr defaultRowHeight="14.5" x14ac:dyDescent="0.35"/>
  <cols>
    <col min="1" max="1" width="13.1796875" bestFit="1" customWidth="1"/>
    <col min="2" max="2" width="22.54296875" bestFit="1" customWidth="1"/>
    <col min="3" max="3" width="18.26953125" bestFit="1" customWidth="1"/>
  </cols>
  <sheetData>
    <row r="3" spans="1:2" x14ac:dyDescent="0.35">
      <c r="A3" s="5" t="s">
        <v>81</v>
      </c>
      <c r="B3" t="s">
        <v>86</v>
      </c>
    </row>
    <row r="4" spans="1:2" x14ac:dyDescent="0.35">
      <c r="A4" s="1" t="s">
        <v>91</v>
      </c>
    </row>
    <row r="5" spans="1:2" x14ac:dyDescent="0.35">
      <c r="A5" s="1" t="s">
        <v>87</v>
      </c>
      <c r="B5">
        <v>31</v>
      </c>
    </row>
    <row r="6" spans="1:2" x14ac:dyDescent="0.35">
      <c r="A6" s="1" t="s">
        <v>88</v>
      </c>
      <c r="B6">
        <v>19</v>
      </c>
    </row>
    <row r="7" spans="1:2" x14ac:dyDescent="0.35">
      <c r="A7" s="1" t="s">
        <v>83</v>
      </c>
      <c r="B7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343A-750F-4C93-8C03-799623657612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26953125" bestFit="1" customWidth="1"/>
  </cols>
  <sheetData>
    <row r="3" spans="1:2" x14ac:dyDescent="0.35">
      <c r="A3" s="5" t="s">
        <v>81</v>
      </c>
      <c r="B3" t="s">
        <v>85</v>
      </c>
    </row>
    <row r="4" spans="1:2" x14ac:dyDescent="0.35">
      <c r="A4" s="1">
        <v>1</v>
      </c>
      <c r="B4">
        <v>10</v>
      </c>
    </row>
    <row r="5" spans="1:2" x14ac:dyDescent="0.35">
      <c r="A5" s="1">
        <v>2</v>
      </c>
      <c r="B5">
        <v>20</v>
      </c>
    </row>
    <row r="6" spans="1:2" x14ac:dyDescent="0.35">
      <c r="A6" s="1">
        <v>3</v>
      </c>
      <c r="B6">
        <v>30</v>
      </c>
    </row>
    <row r="7" spans="1:2" x14ac:dyDescent="0.35">
      <c r="A7" s="1">
        <v>4</v>
      </c>
      <c r="B7">
        <v>40</v>
      </c>
    </row>
    <row r="8" spans="1:2" x14ac:dyDescent="0.35">
      <c r="A8" s="1">
        <v>5</v>
      </c>
      <c r="B8">
        <v>50</v>
      </c>
    </row>
    <row r="9" spans="1:2" x14ac:dyDescent="0.35">
      <c r="A9" s="1" t="s">
        <v>83</v>
      </c>
      <c r="B9">
        <v>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BD98-F8D5-4041-B2A8-08B963DD0A7D}">
  <dimension ref="A1:E6"/>
  <sheetViews>
    <sheetView workbookViewId="0">
      <selection activeCell="A9" sqref="A9"/>
    </sheetView>
  </sheetViews>
  <sheetFormatPr defaultRowHeight="14.5" x14ac:dyDescent="0.35"/>
  <cols>
    <col min="1" max="1" width="21.7265625" bestFit="1" customWidth="1"/>
    <col min="2" max="2" width="4" bestFit="1" customWidth="1"/>
  </cols>
  <sheetData>
    <row r="1" spans="1:5" ht="21" x14ac:dyDescent="0.5">
      <c r="A1" s="7" t="s">
        <v>71</v>
      </c>
      <c r="B1" s="8"/>
      <c r="C1" s="8"/>
      <c r="D1" s="8"/>
      <c r="E1" s="8"/>
    </row>
    <row r="3" spans="1:5" x14ac:dyDescent="0.35">
      <c r="A3" t="s">
        <v>72</v>
      </c>
      <c r="B3">
        <f>COUNTA(Feedback_Data[Customer])</f>
        <v>50</v>
      </c>
    </row>
    <row r="4" spans="1:5" x14ac:dyDescent="0.35">
      <c r="A4" t="s">
        <v>73</v>
      </c>
      <c r="B4">
        <f>COUNTIF(Feedback_Data[Status],"Resolved")/COUNTA(Feedback_Data[Status])</f>
        <v>0.6</v>
      </c>
    </row>
    <row r="5" spans="1:5" x14ac:dyDescent="0.35">
      <c r="A5" t="s">
        <v>74</v>
      </c>
      <c r="B5">
        <f>AVERAGE(Feedback_Data[[#All],[Rating (1–5)]])</f>
        <v>3</v>
      </c>
    </row>
    <row r="6" spans="1:5" x14ac:dyDescent="0.35">
      <c r="A6" t="s">
        <v>75</v>
      </c>
      <c r="B6">
        <f>COUNTIF(Feedback_Data[Follow-Up],"Yes")/COUNTA(Feedback_Data[Follow-Up])</f>
        <v>0.4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11CE-B39F-48D6-9832-E84C075766CE}">
  <dimension ref="A3:B10"/>
  <sheetViews>
    <sheetView workbookViewId="0">
      <selection activeCell="B13" sqref="B13"/>
    </sheetView>
  </sheetViews>
  <sheetFormatPr defaultRowHeight="14.5" x14ac:dyDescent="0.35"/>
  <cols>
    <col min="1" max="1" width="13.36328125" bestFit="1" customWidth="1"/>
    <col min="2" max="2" width="21.1796875" bestFit="1" customWidth="1"/>
  </cols>
  <sheetData>
    <row r="3" spans="1:2" x14ac:dyDescent="0.35">
      <c r="A3" s="5" t="s">
        <v>81</v>
      </c>
      <c r="B3" t="s">
        <v>86</v>
      </c>
    </row>
    <row r="4" spans="1:2" x14ac:dyDescent="0.35">
      <c r="A4" s="1" t="s">
        <v>21</v>
      </c>
      <c r="B4">
        <v>10</v>
      </c>
    </row>
    <row r="5" spans="1:2" x14ac:dyDescent="0.35">
      <c r="A5" s="1" t="s">
        <v>24</v>
      </c>
      <c r="B5">
        <v>10</v>
      </c>
    </row>
    <row r="6" spans="1:2" x14ac:dyDescent="0.35">
      <c r="A6" s="1" t="s">
        <v>18</v>
      </c>
      <c r="B6">
        <v>10</v>
      </c>
    </row>
    <row r="7" spans="1:2" x14ac:dyDescent="0.35">
      <c r="A7" s="1" t="s">
        <v>13</v>
      </c>
      <c r="B7">
        <v>10</v>
      </c>
    </row>
    <row r="8" spans="1:2" x14ac:dyDescent="0.35">
      <c r="A8" s="1" t="s">
        <v>8</v>
      </c>
      <c r="B8">
        <v>10</v>
      </c>
    </row>
    <row r="9" spans="1:2" x14ac:dyDescent="0.35">
      <c r="A9" s="1" t="s">
        <v>82</v>
      </c>
    </row>
    <row r="10" spans="1:2" x14ac:dyDescent="0.35">
      <c r="A10" s="1" t="s">
        <v>83</v>
      </c>
      <c r="B10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Feedback_Data</vt:lpstr>
      <vt:lpstr>Dashboard1</vt:lpstr>
      <vt:lpstr>Sheet2</vt:lpstr>
      <vt:lpstr>Sheet5</vt:lpstr>
      <vt:lpstr>Sheet4</vt:lpstr>
      <vt:lpstr>Sheet3</vt:lpstr>
      <vt:lpstr>Sheet1</vt:lpstr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Abiodun Prosper</cp:lastModifiedBy>
  <dcterms:created xsi:type="dcterms:W3CDTF">2025-10-29T20:20:44Z</dcterms:created>
  <dcterms:modified xsi:type="dcterms:W3CDTF">2025-12-09T07:10:43Z</dcterms:modified>
</cp:coreProperties>
</file>